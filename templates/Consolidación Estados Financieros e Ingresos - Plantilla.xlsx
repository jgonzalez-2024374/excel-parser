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se Gonzalez\Downloads\"/>
    </mc:Choice>
  </mc:AlternateContent>
  <xr:revisionPtr revIDLastSave="0" documentId="13_ncr:1_{E2C6B073-D9B6-4D15-8F5E-B776CFF27F96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SALDOS POR CUENTA" sheetId="3" r:id="rId1"/>
    <sheet name="ESTADOS CONSOLIDADOS" sheetId="2" r:id="rId2"/>
    <sheet name="REPORTE CREDITOS DIARIOS" sheetId="4" r:id="rId3"/>
    <sheet name="TABLERO CREDITO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5" l="1"/>
  <c r="A33" i="5"/>
  <c r="D33" i="5" s="1"/>
  <c r="A32" i="5"/>
  <c r="D32" i="5" s="1"/>
  <c r="A31" i="5"/>
  <c r="B31" i="5" s="1"/>
  <c r="A30" i="5"/>
  <c r="D30" i="5" s="1"/>
  <c r="A29" i="5"/>
  <c r="D29" i="5" s="1"/>
  <c r="A28" i="5"/>
  <c r="B28" i="5" s="1"/>
  <c r="A27" i="5"/>
  <c r="D27" i="5" s="1"/>
  <c r="A26" i="5"/>
  <c r="D26" i="5" s="1"/>
  <c r="A25" i="5"/>
  <c r="B25" i="5" s="1"/>
  <c r="A24" i="5"/>
  <c r="D24" i="5" s="1"/>
  <c r="A23" i="5"/>
  <c r="D23" i="5" s="1"/>
  <c r="H22" i="5"/>
  <c r="A22" i="5"/>
  <c r="B22" i="5" s="1"/>
  <c r="H21" i="5"/>
  <c r="A21" i="5"/>
  <c r="D21" i="5" s="1"/>
  <c r="H20" i="5"/>
  <c r="A20" i="5"/>
  <c r="D20" i="5" s="1"/>
  <c r="H19" i="5"/>
  <c r="A19" i="5"/>
  <c r="B19" i="5" s="1"/>
  <c r="H18" i="5"/>
  <c r="A18" i="5"/>
  <c r="D18" i="5" s="1"/>
  <c r="H17" i="5"/>
  <c r="A17" i="5"/>
  <c r="B17" i="5" s="1"/>
  <c r="Y4" i="5" s="1"/>
  <c r="H16" i="5"/>
  <c r="A16" i="5"/>
  <c r="B16" i="5" s="1"/>
  <c r="H15" i="5"/>
  <c r="C15" i="5"/>
  <c r="A15" i="5"/>
  <c r="D15" i="5" s="1"/>
  <c r="D17" i="5" l="1"/>
  <c r="D19" i="5"/>
  <c r="D16" i="5"/>
  <c r="B20" i="5"/>
  <c r="C20" i="5" s="1"/>
  <c r="Y6" i="5"/>
  <c r="C17" i="5"/>
  <c r="B15" i="5"/>
  <c r="Y2" i="5" s="1"/>
  <c r="B18" i="5"/>
  <c r="Y5" i="5" s="1"/>
  <c r="B21" i="5"/>
  <c r="Y8" i="5" s="1"/>
  <c r="G8" i="5"/>
  <c r="D22" i="5"/>
  <c r="Y12" i="5"/>
  <c r="Y15" i="5"/>
  <c r="Y18" i="5"/>
  <c r="Y9" i="5"/>
  <c r="Y3" i="5"/>
  <c r="D25" i="5"/>
  <c r="D28" i="5"/>
  <c r="B23" i="5"/>
  <c r="A8" i="5"/>
  <c r="B26" i="5"/>
  <c r="B29" i="5"/>
  <c r="B32" i="5"/>
  <c r="C8" i="5"/>
  <c r="D31" i="5"/>
  <c r="E8" i="5"/>
  <c r="H23" i="5"/>
  <c r="B24" i="5"/>
  <c r="B27" i="5"/>
  <c r="C28" i="5" s="1"/>
  <c r="B30" i="5"/>
  <c r="C31" i="5" s="1"/>
  <c r="B33" i="5"/>
  <c r="Y7" i="5" l="1"/>
  <c r="C16" i="5"/>
  <c r="C21" i="5"/>
  <c r="C22" i="5"/>
  <c r="C18" i="5"/>
  <c r="C19" i="5"/>
  <c r="C24" i="5"/>
  <c r="Y11" i="5"/>
  <c r="Y19" i="5"/>
  <c r="C32" i="5"/>
  <c r="Y13" i="5"/>
  <c r="C26" i="5"/>
  <c r="C30" i="5"/>
  <c r="Y17" i="5"/>
  <c r="C25" i="5"/>
  <c r="C29" i="5"/>
  <c r="Y16" i="5"/>
  <c r="C33" i="5"/>
  <c r="Y20" i="5"/>
  <c r="C27" i="5"/>
  <c r="Y14" i="5"/>
  <c r="C23" i="5"/>
  <c r="Y10" i="5"/>
</calcChain>
</file>

<file path=xl/sharedStrings.xml><?xml version="1.0" encoding="utf-8"?>
<sst xmlns="http://schemas.openxmlformats.org/spreadsheetml/2006/main" count="816" uniqueCount="332">
  <si>
    <t>SALDOS INICIALES Y FINALES POR CUENTA</t>
  </si>
  <si>
    <t>Valores tomados del primer y último movimiento registrado de los estados de cuenta en bancos.</t>
  </si>
  <si>
    <t>Banco</t>
  </si>
  <si>
    <t>Cuenta</t>
  </si>
  <si>
    <t xml:space="preserve">Saldo inicial </t>
  </si>
  <si>
    <t xml:space="preserve">Saldo final </t>
  </si>
  <si>
    <t>AGRÍCOLA</t>
  </si>
  <si>
    <t>9596</t>
  </si>
  <si>
    <t xml:space="preserve">CUSCATLÁN </t>
  </si>
  <si>
    <t>2509</t>
  </si>
  <si>
    <t>4978</t>
  </si>
  <si>
    <t xml:space="preserve">BAC </t>
  </si>
  <si>
    <t>0386</t>
  </si>
  <si>
    <t>6715</t>
  </si>
  <si>
    <t>PROMERICA</t>
  </si>
  <si>
    <t>0049</t>
  </si>
  <si>
    <t xml:space="preserve">DAVIVIENDA </t>
  </si>
  <si>
    <t>8202</t>
  </si>
  <si>
    <t>1962</t>
  </si>
  <si>
    <t>Fecha Transacción</t>
  </si>
  <si>
    <t>Referencia</t>
  </si>
  <si>
    <t>Descripción / Transacción</t>
  </si>
  <si>
    <t>Débito / Cargo / Valor -</t>
  </si>
  <si>
    <t>Crédito / Abono / Valor +</t>
  </si>
  <si>
    <t>Saldo disponible / Saldo / Balance</t>
  </si>
  <si>
    <t>BANCO AGRÍCOLA</t>
  </si>
  <si>
    <t>0</t>
  </si>
  <si>
    <t>LIQUIDACION POR PAGOS CON NPE</t>
  </si>
  <si>
    <t>8445219661</t>
  </si>
  <si>
    <t>TRANSF. FERNANDO JOSE AMAYA LI</t>
  </si>
  <si>
    <t>309717</t>
  </si>
  <si>
    <t>1416029438</t>
  </si>
  <si>
    <t>Transfer365 MATUS INTERNATIONA</t>
  </si>
  <si>
    <t>1416032209</t>
  </si>
  <si>
    <t>Transfer365 CAJA DE CREDITO Y</t>
  </si>
  <si>
    <t>1416032272</t>
  </si>
  <si>
    <t>231330071</t>
  </si>
  <si>
    <t>TRANSF. COMPAÑIA DE ASESORIA Y</t>
  </si>
  <si>
    <t>4916</t>
  </si>
  <si>
    <t>CHEQUE CONFORMADO PAGADO EN COMP</t>
  </si>
  <si>
    <t>1416042133</t>
  </si>
  <si>
    <t>Transfer365 UNIVERSIDAD DE SON</t>
  </si>
  <si>
    <t>220416341</t>
  </si>
  <si>
    <t>REMESA EN CTA.CTE.</t>
  </si>
  <si>
    <t>231689846</t>
  </si>
  <si>
    <t>TRANSF. ISTU-RECURSOS PROPIOS</t>
  </si>
  <si>
    <t>1416011747</t>
  </si>
  <si>
    <t>Transfer365 AEROMANTENIMIENTO</t>
  </si>
  <si>
    <t>812003342</t>
  </si>
  <si>
    <t>-UNIVERSIDAD DR JOSE MATIAS DE</t>
  </si>
  <si>
    <t>2622404606</t>
  </si>
  <si>
    <t>NOTA DE ABONO</t>
  </si>
  <si>
    <t>231786465</t>
  </si>
  <si>
    <t>TRANSF. HOUSE OF SURF - MIZATA</t>
  </si>
  <si>
    <t>231826645</t>
  </si>
  <si>
    <t>TRANSF. DISTRIBUIDORA PAREDES</t>
  </si>
  <si>
    <t>700610163</t>
  </si>
  <si>
    <t>232055197</t>
  </si>
  <si>
    <t>TRANSF. BOLSA DE VALORES DE EL</t>
  </si>
  <si>
    <t>8607259773</t>
  </si>
  <si>
    <t>TRANSF. JOSE MARIA GARCIA HERN</t>
  </si>
  <si>
    <t>1416059587</t>
  </si>
  <si>
    <t>Transfer365 LEONEL</t>
  </si>
  <si>
    <t>232345894</t>
  </si>
  <si>
    <t>TRANSF. MH MINEC SDC BIENES Y</t>
  </si>
  <si>
    <t>232391146</t>
  </si>
  <si>
    <t>TRANSF. PARQUE SOLAR LLANO GRA</t>
  </si>
  <si>
    <t>232391145</t>
  </si>
  <si>
    <t>TRANSF. PARQUE SOLAR LA LIBERT</t>
  </si>
  <si>
    <t>232391144</t>
  </si>
  <si>
    <t>TRANSF. PARQUE SOLAR LA ESPERA</t>
  </si>
  <si>
    <t>1416074838</t>
  </si>
  <si>
    <t>Pago proveedor Organo Legislat</t>
  </si>
  <si>
    <t>8432908</t>
  </si>
  <si>
    <t>PAGO DE DISTRIBUIDORA DE ELECT</t>
  </si>
  <si>
    <t>1416016853</t>
  </si>
  <si>
    <t>Transfer365 Z M SEGURIDAD, S.A</t>
  </si>
  <si>
    <t>1399059041</t>
  </si>
  <si>
    <t>PAGO DE PROVEEDORES</t>
  </si>
  <si>
    <t>1416058346</t>
  </si>
  <si>
    <t>Transfer365 DIRECCION DE MERCA</t>
  </si>
  <si>
    <t>8678332173</t>
  </si>
  <si>
    <t>TRANSF. JUAN CARLOS ORELLANA V</t>
  </si>
  <si>
    <t>BANCO CUSCATLÁN</t>
  </si>
  <si>
    <t>5972</t>
  </si>
  <si>
    <t>PAGO DE CHEQUE POR CAMARA</t>
  </si>
  <si>
    <t>728255639</t>
  </si>
  <si>
    <t>ABONO UNI-TRANSFERENCIA DE BANCO A BANCO</t>
  </si>
  <si>
    <t>1889446555</t>
  </si>
  <si>
    <t>NOTA DE ABONO POR CAJA</t>
  </si>
  <si>
    <t>745007329</t>
  </si>
  <si>
    <t>85993049</t>
  </si>
  <si>
    <t>DEPOSITO NORMAL CUENTA CORRIENTE</t>
  </si>
  <si>
    <t>13/08/2026 10:18:00</t>
  </si>
  <si>
    <t>761680361</t>
  </si>
  <si>
    <t>ABONO TRANSFER365 PAGOS RECIBIDO</t>
  </si>
  <si>
    <t>83542205</t>
  </si>
  <si>
    <t>85993137</t>
  </si>
  <si>
    <t>789692036</t>
  </si>
  <si>
    <t>720107225</t>
  </si>
  <si>
    <t>TRANSFERENCIA LOCAL</t>
  </si>
  <si>
    <t>5063</t>
  </si>
  <si>
    <t>PAGO DE CHEQUE TRANSFERIDO</t>
  </si>
  <si>
    <t>723574350</t>
  </si>
  <si>
    <t>ABONO PAGO ELECTRONICO DE TERCERO</t>
  </si>
  <si>
    <t>5071</t>
  </si>
  <si>
    <t>PAGO DE CHEQUE DE VENTANILLA</t>
  </si>
  <si>
    <t>724167263</t>
  </si>
  <si>
    <t>DEPOSITOS A CUENTA</t>
  </si>
  <si>
    <t>5073</t>
  </si>
  <si>
    <t>5072</t>
  </si>
  <si>
    <t>2078004802</t>
  </si>
  <si>
    <t>RECEPCION DE COLECTORES</t>
  </si>
  <si>
    <t>729624825</t>
  </si>
  <si>
    <t>735996024</t>
  </si>
  <si>
    <t>736430078</t>
  </si>
  <si>
    <t>741262105</t>
  </si>
  <si>
    <t>742750330</t>
  </si>
  <si>
    <t>750313657</t>
  </si>
  <si>
    <t>1892932826</t>
  </si>
  <si>
    <t>5069</t>
  </si>
  <si>
    <t>771823275</t>
  </si>
  <si>
    <t>775024840</t>
  </si>
  <si>
    <t>2056024299</t>
  </si>
  <si>
    <t>2016149683</t>
  </si>
  <si>
    <t>5070</t>
  </si>
  <si>
    <t>782147474</t>
  </si>
  <si>
    <t>1897698876</t>
  </si>
  <si>
    <t>2053691341</t>
  </si>
  <si>
    <t>794446554</t>
  </si>
  <si>
    <t>BAC</t>
  </si>
  <si>
    <t>189080846</t>
  </si>
  <si>
    <t>AFI36587024 LIQ62189080846</t>
  </si>
  <si>
    <t>878</t>
  </si>
  <si>
    <t>BELRED (-310726</t>
  </si>
  <si>
    <t>879</t>
  </si>
  <si>
    <t>BELRED (-010826</t>
  </si>
  <si>
    <t>880</t>
  </si>
  <si>
    <t>BELRED (-040826</t>
  </si>
  <si>
    <t>249911866</t>
  </si>
  <si>
    <t>AFI36587237 LIQ62249911866</t>
  </si>
  <si>
    <t>881</t>
  </si>
  <si>
    <t>BELRED (-050826</t>
  </si>
  <si>
    <t>882</t>
  </si>
  <si>
    <t>BELRED (-070826</t>
  </si>
  <si>
    <t>205490792</t>
  </si>
  <si>
    <t>TEF A : 200008605</t>
  </si>
  <si>
    <t>290602632</t>
  </si>
  <si>
    <t>AFI36587024 LIQ62290602632</t>
  </si>
  <si>
    <t>883</t>
  </si>
  <si>
    <t>BELRED (-110826</t>
  </si>
  <si>
    <t>205499672</t>
  </si>
  <si>
    <t>TEF A : 200022366</t>
  </si>
  <si>
    <t>300747790</t>
  </si>
  <si>
    <t>AFI36587024 LIQ62300747790</t>
  </si>
  <si>
    <t>884</t>
  </si>
  <si>
    <t>BELRED (-120826</t>
  </si>
  <si>
    <t>310902697</t>
  </si>
  <si>
    <t>AFI36587237 LIQ62310902697</t>
  </si>
  <si>
    <t>205468361</t>
  </si>
  <si>
    <t>TEF DE:PV SERVICES (EL SALVADO</t>
  </si>
  <si>
    <t>951543955</t>
  </si>
  <si>
    <t>Pago SALNET 3217182</t>
  </si>
  <si>
    <t>885</t>
  </si>
  <si>
    <t>BELRED (-130826</t>
  </si>
  <si>
    <t>321179539</t>
  </si>
  <si>
    <t>AFI36587024 LIQ62321179539</t>
  </si>
  <si>
    <t>331328338</t>
  </si>
  <si>
    <t>AFI36587237 LIQ62331328338</t>
  </si>
  <si>
    <t>81800578</t>
  </si>
  <si>
    <t>COMISIONES COLEC BEL-JUL26</t>
  </si>
  <si>
    <t>351686818</t>
  </si>
  <si>
    <t>AFI36587024 LIQ62351686818</t>
  </si>
  <si>
    <t>361891045</t>
  </si>
  <si>
    <t>AFI36587237 LIQ62361891045</t>
  </si>
  <si>
    <t>886</t>
  </si>
  <si>
    <t>BELRED (-180826</t>
  </si>
  <si>
    <t>912801313</t>
  </si>
  <si>
    <t>T365 DE: TELEMOVIL EL SALVADOR</t>
  </si>
  <si>
    <t>905407204</t>
  </si>
  <si>
    <t>TEF UNI DE: SOCIEDAD DE AHORRO</t>
  </si>
  <si>
    <t>205486220</t>
  </si>
  <si>
    <t>TEF DE:SESECON SA DE CV</t>
  </si>
  <si>
    <t>205449393</t>
  </si>
  <si>
    <t>TEF DE:POLLO TECLEÑO SA DE CV</t>
  </si>
  <si>
    <t>350404985</t>
  </si>
  <si>
    <t>DEPOSITO JOSE VASQUEZ</t>
  </si>
  <si>
    <t>912400755</t>
  </si>
  <si>
    <t>T365 DE: TRANSPORTES UNIDOS DE</t>
  </si>
  <si>
    <t>912409664</t>
  </si>
  <si>
    <t>T365 DE: PROTECSA, SA DE CV</t>
  </si>
  <si>
    <t>912409666</t>
  </si>
  <si>
    <t>205473237</t>
  </si>
  <si>
    <t>TEF DE:CARLOS FERNANDO SANCHEZ</t>
  </si>
  <si>
    <t>205412154</t>
  </si>
  <si>
    <t>TEF DE:LUIS MAURICIO RENDEROS</t>
  </si>
  <si>
    <t>205433661</t>
  </si>
  <si>
    <t>TEF DE:GRUPO SUN TECH SA DE CV</t>
  </si>
  <si>
    <t>912400786</t>
  </si>
  <si>
    <t>T365 DE: AG,CONSTRUCTORES,S.A.</t>
  </si>
  <si>
    <t>912407073</t>
  </si>
  <si>
    <t>T365 DE: REGISTRO NACIONAL DE</t>
  </si>
  <si>
    <t>912407977</t>
  </si>
  <si>
    <t>T365 DE: TESORERIA DEL CENTRO</t>
  </si>
  <si>
    <t>912404717</t>
  </si>
  <si>
    <t>T365 DE: SEGUROS ATLANTIDA,</t>
  </si>
  <si>
    <t>912408184</t>
  </si>
  <si>
    <t>T365 DE: MINDEL</t>
  </si>
  <si>
    <t>951543411</t>
  </si>
  <si>
    <t>Pago Claro Telefonía Móvil 202</t>
  </si>
  <si>
    <t>951543570</t>
  </si>
  <si>
    <t>Pago Claro Telefonía Móvil 200</t>
  </si>
  <si>
    <t>912401290</t>
  </si>
  <si>
    <t>T365 DE: INVERSIONES TOTALES S</t>
  </si>
  <si>
    <t>905406268</t>
  </si>
  <si>
    <t>TEF UNI DE: VENTUS S.A DE C.V</t>
  </si>
  <si>
    <t>205444265</t>
  </si>
  <si>
    <t>TEF DE:CONSTRU S GARDEN SA DE</t>
  </si>
  <si>
    <t>205488582</t>
  </si>
  <si>
    <t>TEF A : 201084233</t>
  </si>
  <si>
    <t>205451499</t>
  </si>
  <si>
    <t>TEF DE:JUAN ANTONIO CAÑAS REND</t>
  </si>
  <si>
    <t>912406505</t>
  </si>
  <si>
    <t>T365 DE: DISMA S.A DE C.V</t>
  </si>
  <si>
    <t>205416198</t>
  </si>
  <si>
    <t>TEF A : 201403771</t>
  </si>
  <si>
    <t>205416636</t>
  </si>
  <si>
    <t>205404449</t>
  </si>
  <si>
    <t>TEF DE:CHRISTIAN JOSE PINTO ZE</t>
  </si>
  <si>
    <t>205401722</t>
  </si>
  <si>
    <t>TEF DE:OCEANICA ESCUELA DE BUC</t>
  </si>
  <si>
    <t>Transferencia por cobro de servicios</t>
  </si>
  <si>
    <t>PAGO DE CHEQUE COBRADO POR CAMARA</t>
  </si>
  <si>
    <t>Pago de Cheques</t>
  </si>
  <si>
    <t>Deposito en Cuenta Corriente</t>
  </si>
  <si>
    <t>Transferencia a terceros cuenta: ***1537</t>
  </si>
  <si>
    <t>PAGO: AFP CRECER</t>
  </si>
  <si>
    <t>PAGO: AFP CONFIA</t>
  </si>
  <si>
    <t>PAGO: I.S.S.S.</t>
  </si>
  <si>
    <t>PAGO: CAESS</t>
  </si>
  <si>
    <t>TRANSFERENCIA POR TRANSFER365</t>
  </si>
  <si>
    <t>DAVIVIENDA</t>
  </si>
  <si>
    <t>1</t>
  </si>
  <si>
    <t>WEB Transf de SETPAM SA DE CV ABONADO POR: SETPAM SA DE CV REFERENCIA: 1</t>
  </si>
  <si>
    <t>4082026</t>
  </si>
  <si>
    <t>WEB Transf a EDUARDO ORTIZ</t>
  </si>
  <si>
    <t>WEB Transf a ANGEL MACHUCA</t>
  </si>
  <si>
    <t>WEB Transf a JAVIER CORNEJO</t>
  </si>
  <si>
    <t>7127921</t>
  </si>
  <si>
    <t>DEPOSITO     007127921</t>
  </si>
  <si>
    <t>DEPOSITO MANUAL</t>
  </si>
  <si>
    <t>10082026</t>
  </si>
  <si>
    <t>WEB Transf a MARIA LOPEZ</t>
  </si>
  <si>
    <t>8048213</t>
  </si>
  <si>
    <t>DEPOSITO     008048213   (DOB)</t>
  </si>
  <si>
    <t>8048214</t>
  </si>
  <si>
    <t>DEPOSITO     008048214</t>
  </si>
  <si>
    <t>74704759</t>
  </si>
  <si>
    <t>WEB Transf de FUNDACION PARA E ABONADO POR: FUNDACION PARA EL AUTODESARROL REFERENCIA: 74704759</t>
  </si>
  <si>
    <t>81385851</t>
  </si>
  <si>
    <t>WEB Transf de LORENZA NOLASCO ABONADO POR: NOLASCO DE MENDEZ, LORENZA DEL REFERENCIA: 81385851</t>
  </si>
  <si>
    <t>81387065</t>
  </si>
  <si>
    <t>APP Transf de BEATRIZ IRIARTE</t>
  </si>
  <si>
    <t>74710740</t>
  </si>
  <si>
    <t>WEB Transf de ESDEL SA DE CV ABONADO POR: ESDEL SA DE CV REFERENCIA: 74710740</t>
  </si>
  <si>
    <t>74714342</t>
  </si>
  <si>
    <t>WEB Transf de IMPORTACIONES LG ABONADO POR: IMPORTACIONES LG, S.A. DE C.V. REFERENCIA: 74714342</t>
  </si>
  <si>
    <t>BEP-PAGO ELECTRONICO LOT 00650</t>
  </si>
  <si>
    <t>BEP-PAGO ELECTRONICO LOT 00646</t>
  </si>
  <si>
    <t>BEP-PAGO ELECTRONICO LOT 00647</t>
  </si>
  <si>
    <t>BEP-PAGO ELECTRONICO LOT 00651</t>
  </si>
  <si>
    <t>T365 a T365 MAURICIO</t>
  </si>
  <si>
    <t>15042026</t>
  </si>
  <si>
    <t>WEB Transf a GUILLERMO ALFARO</t>
  </si>
  <si>
    <t>251508</t>
  </si>
  <si>
    <t>WEB Transf de PARANA S.A DE C. ABONADO POR: PARANA S.A DE C.V REFERENCIA: 251508</t>
  </si>
  <si>
    <t>74826647</t>
  </si>
  <si>
    <t>WEB Transf de CLC INGENIEROS S ABONADO POR: CLC INGENIEROS SA DE CV REFERENCIA: 74826647</t>
  </si>
  <si>
    <t>74827681</t>
  </si>
  <si>
    <t>WEB Transf de AIS GLOBAL S.A D ABONADO POR: AIS GLOBAL S.A DE C.V REFERENCIA: 74827681</t>
  </si>
  <si>
    <t>17082026</t>
  </si>
  <si>
    <t>WEB Transf a RUDY SACA</t>
  </si>
  <si>
    <t>RETENCION IMPUESTO029601075000</t>
  </si>
  <si>
    <t>Pgo.interes.Dep.Plzo 075000</t>
  </si>
  <si>
    <t>RETENCION IMPUESTO029601078300</t>
  </si>
  <si>
    <t>Pgo.interes.Dep.Plzo 078300</t>
  </si>
  <si>
    <t>RESUMEN DIARIO DE CRÉDITOS / ABONOS</t>
  </si>
  <si>
    <t>Crédito diario = suma de los valores reportados en Crédito / Abono / Valor + de los movimientos de esa fecha. Los movimientos fuente no se alteran; donde no existe valor reportado, la cuenta queda vacía.</t>
  </si>
  <si>
    <t>BANCO</t>
  </si>
  <si>
    <t>CUSCATLÁN</t>
  </si>
  <si>
    <t>Fecha</t>
  </si>
  <si>
    <t>TOTAL CRÉDITOS</t>
  </si>
  <si>
    <t>CUENTAS CON ABONO</t>
  </si>
  <si>
    <t>TABLERO DIARIO DE CRÉDITOS / ABONOS</t>
  </si>
  <si>
    <t>Valor</t>
  </si>
  <si>
    <t>Selecciona fecha inicial, fecha final y cuenta. “TODAS” consolida los créditos; si eliges una cuenta, esa selección tiene prioridad sobre el Banco.</t>
  </si>
  <si>
    <t>01/08</t>
  </si>
  <si>
    <t>02/08</t>
  </si>
  <si>
    <t>FECHA INICIAL</t>
  </si>
  <si>
    <t>FECHA FINAL</t>
  </si>
  <si>
    <t>CUENTA</t>
  </si>
  <si>
    <t>03/08</t>
  </si>
  <si>
    <t>TODAS</t>
  </si>
  <si>
    <t>TODOS</t>
  </si>
  <si>
    <t>04/08</t>
  </si>
  <si>
    <t>05/08</t>
  </si>
  <si>
    <t>CRÉDITOS EN RANGO</t>
  </si>
  <si>
    <t>PROMEDIO DIARIO</t>
  </si>
  <si>
    <t>MAYOR DÍA</t>
  </si>
  <si>
    <t>06/08</t>
  </si>
  <si>
    <t>07/08</t>
  </si>
  <si>
    <t>08/08</t>
  </si>
  <si>
    <t>09/08</t>
  </si>
  <si>
    <t>10/08</t>
  </si>
  <si>
    <t>11/08</t>
  </si>
  <si>
    <t>EVOLUCIÓN DIARIA EN EL RANGO</t>
  </si>
  <si>
    <t>CRÉDITOS POR CUENTA EN EL RANGO</t>
  </si>
  <si>
    <t>12/08</t>
  </si>
  <si>
    <t>Crédito seleccionado</t>
  </si>
  <si>
    <t>Variación diaria</t>
  </si>
  <si>
    <t>Cuentas con abono</t>
  </si>
  <si>
    <t>Crédito en rango</t>
  </si>
  <si>
    <t>13/08</t>
  </si>
  <si>
    <t>14/08</t>
  </si>
  <si>
    <t>15/08</t>
  </si>
  <si>
    <t>16/08</t>
  </si>
  <si>
    <t>17/08</t>
  </si>
  <si>
    <t>18/08</t>
  </si>
  <si>
    <t>19/08</t>
  </si>
  <si>
    <t>Nota: el reporte suma únicamente los valores existentes en Crédito / Abono / Valor +. Los movimientos originales permanecen sin cambios.</t>
  </si>
  <si>
    <t>SALDO DISPONIBLE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</si>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</sst>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.00_-;\-&quot;$&quot;* #,##0.00_-;_-&quot;$&quot;* &quot;-&quot;??_-;_-@_-"/>
    <numFmt numFmtId="165" formatCode="dd/mm/yyyy"/>
    <numFmt numFmtId="166" formatCode="\$#,##0.00"/>
    <numFmt numFmtId="167" formatCode="0000"/>
    <numFmt numFmtId="168" formatCode="\$#,##0.00;[Red]\-\$#,##0.00"/>
    <numFmt numFmtId="169" formatCode="\Q\ #,##0.00;[Red]\(\Q\ #,##0.00\);\-"/>
  </numFmts>
  <fonts count="18">
    <font>
      <sz val="11"/>
      <color theme="1"/>
      <name val="Calibri"/>
    </font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i/>
      <sz val="10"/>
      <color rgb="FF595959"/>
      <name val="Carlito"/>
    </font>
    <font>
      <b/>
      <sz val="11"/>
      <color rgb="FF1F1F1F"/>
      <name val="Carlito"/>
    </font>
    <font>
      <b/>
      <sz val="16"/>
      <color rgb="FFFFFFFF"/>
      <name val="Carlito"/>
    </font>
    <font>
      <i/>
      <sz val="10"/>
      <color rgb="FF667085"/>
      <name val="Carlito"/>
    </font>
    <font>
      <b/>
      <sz val="10"/>
      <color rgb="FF0F6F7B"/>
      <name val="Carlito"/>
    </font>
    <font>
      <b/>
      <sz val="10"/>
      <color rgb="FFFFFFFF"/>
      <name val="Carlito"/>
    </font>
    <font>
      <sz val="10"/>
      <color rgb="FF203040"/>
      <name val="Carlito"/>
    </font>
    <font>
      <b/>
      <sz val="10"/>
      <color rgb="FF203040"/>
      <name val="Carlito"/>
    </font>
    <font>
      <sz val="2"/>
      <color rgb="FFFFFFFF"/>
      <name val="Carlito"/>
    </font>
    <font>
      <b/>
      <sz val="11"/>
      <color rgb="FF203040"/>
      <name val="Carlito"/>
    </font>
    <font>
      <b/>
      <sz val="15"/>
      <color rgb="FF203040"/>
      <name val="Carlito"/>
    </font>
    <font>
      <b/>
      <sz val="10"/>
      <color rgb="FF17365D"/>
      <name val="Carlito"/>
    </font>
    <font>
      <b/>
      <sz val="11"/>
      <color rgb="FF008080"/>
      <name val="Calibri"/>
      <family val="2"/>
    </font>
    <font>
      <b/>
      <sz val="15"/>
      <color theme="2" tint="-0.74999237037263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EAF4F8"/>
      </patternFill>
    </fill>
    <fill>
      <patternFill patternType="solid">
        <fgColor rgb="FFD9EAF2"/>
      </patternFill>
    </fill>
    <fill>
      <patternFill patternType="solid">
        <fgColor rgb="FF1F7886"/>
      </patternFill>
    </fill>
    <fill>
      <patternFill patternType="solid">
        <fgColor rgb="FFD8EEF7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70AD47"/>
      </top>
      <bottom style="thin">
        <color rgb="FF70AD47"/>
      </bottom>
      <diagonal/>
    </border>
  </borders>
  <cellStyleXfs count="3">
    <xf numFmtId="0" fontId="0" fillId="0" borderId="0"/>
    <xf numFmtId="0" fontId="1" fillId="0" borderId="0"/>
    <xf numFmtId="164" fontId="1" fillId="0" borderId="0"/>
  </cellStyleXfs>
  <cellXfs count="55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left" vertical="center"/>
    </xf>
    <xf numFmtId="0" fontId="1" fillId="0" borderId="0" xfId="1" applyAlignment="1">
      <alignment horizontal="left"/>
    </xf>
    <xf numFmtId="0" fontId="1" fillId="0" borderId="0" xfId="1" applyAlignment="1">
      <alignment horizontal="left" vertical="top"/>
    </xf>
    <xf numFmtId="165" fontId="1" fillId="0" borderId="0" xfId="1" applyNumberFormat="1" applyAlignment="1">
      <alignment horizontal="left" vertical="top"/>
    </xf>
    <xf numFmtId="164" fontId="1" fillId="0" borderId="0" xfId="2"/>
    <xf numFmtId="165" fontId="1" fillId="0" borderId="0" xfId="1" applyNumberFormat="1" applyAlignment="1">
      <alignment horizontal="left"/>
    </xf>
    <xf numFmtId="0" fontId="1" fillId="0" borderId="0" xfId="1"/>
    <xf numFmtId="0" fontId="5" fillId="3" borderId="0" xfId="1" applyFont="1" applyFill="1" applyAlignment="1">
      <alignment horizontal="center" vertical="center" wrapText="1"/>
    </xf>
    <xf numFmtId="0" fontId="1" fillId="0" borderId="0" xfId="1" applyAlignment="1">
      <alignment vertical="center"/>
    </xf>
    <xf numFmtId="49" fontId="1" fillId="0" borderId="0" xfId="1" applyNumberFormat="1" applyAlignment="1">
      <alignment horizontal="center" vertical="center"/>
    </xf>
    <xf numFmtId="166" fontId="1" fillId="0" borderId="0" xfId="1" applyNumberFormat="1" applyAlignment="1">
      <alignment horizontal="right" vertical="center"/>
    </xf>
    <xf numFmtId="0" fontId="8" fillId="6" borderId="0" xfId="1" applyFont="1" applyFill="1" applyAlignment="1">
      <alignment horizontal="center" vertical="center"/>
    </xf>
    <xf numFmtId="0" fontId="9" fillId="7" borderId="0" xfId="1" applyFont="1" applyFill="1" applyAlignment="1">
      <alignment horizontal="center" vertical="center"/>
    </xf>
    <xf numFmtId="167" fontId="9" fillId="7" borderId="0" xfId="1" applyNumberFormat="1" applyFont="1" applyFill="1" applyAlignment="1">
      <alignment horizontal="center" vertical="center"/>
    </xf>
    <xf numFmtId="165" fontId="10" fillId="8" borderId="0" xfId="1" applyNumberFormat="1" applyFont="1" applyFill="1" applyAlignment="1">
      <alignment vertical="center"/>
    </xf>
    <xf numFmtId="168" fontId="10" fillId="8" borderId="0" xfId="1" applyNumberFormat="1" applyFont="1" applyFill="1" applyAlignment="1">
      <alignment vertical="center"/>
    </xf>
    <xf numFmtId="168" fontId="11" fillId="9" borderId="0" xfId="1" applyNumberFormat="1" applyFont="1" applyFill="1" applyAlignment="1">
      <alignment vertical="center"/>
    </xf>
    <xf numFmtId="1" fontId="11" fillId="8" borderId="0" xfId="1" applyNumberFormat="1" applyFont="1" applyFill="1" applyAlignment="1">
      <alignment vertical="center"/>
    </xf>
    <xf numFmtId="165" fontId="10" fillId="10" borderId="0" xfId="1" applyNumberFormat="1" applyFont="1" applyFill="1" applyAlignment="1">
      <alignment vertical="center"/>
    </xf>
    <xf numFmtId="168" fontId="10" fillId="10" borderId="0" xfId="1" applyNumberFormat="1" applyFont="1" applyFill="1" applyAlignment="1">
      <alignment vertical="center"/>
    </xf>
    <xf numFmtId="1" fontId="11" fillId="10" borderId="0" xfId="1" applyNumberFormat="1" applyFont="1" applyFill="1" applyAlignment="1">
      <alignment vertical="center"/>
    </xf>
    <xf numFmtId="0" fontId="12" fillId="0" borderId="0" xfId="1" applyFont="1"/>
    <xf numFmtId="0" fontId="1" fillId="11" borderId="0" xfId="1" applyFill="1"/>
    <xf numFmtId="165" fontId="1" fillId="8" borderId="0" xfId="1" applyNumberFormat="1" applyFill="1"/>
    <xf numFmtId="1" fontId="1" fillId="8" borderId="0" xfId="1" applyNumberFormat="1" applyFill="1"/>
    <xf numFmtId="0" fontId="1" fillId="8" borderId="0" xfId="1" applyFill="1"/>
    <xf numFmtId="167" fontId="1" fillId="8" borderId="0" xfId="1" applyNumberFormat="1" applyFill="1"/>
    <xf numFmtId="165" fontId="1" fillId="10" borderId="0" xfId="1" applyNumberFormat="1" applyFill="1"/>
    <xf numFmtId="1" fontId="1" fillId="10" borderId="0" xfId="1" applyNumberFormat="1" applyFill="1"/>
    <xf numFmtId="0" fontId="1" fillId="10" borderId="0" xfId="1" applyFill="1"/>
    <xf numFmtId="167" fontId="1" fillId="10" borderId="0" xfId="1" applyNumberFormat="1" applyFill="1"/>
    <xf numFmtId="169" fontId="0" fillId="0" borderId="0" xfId="0" applyNumberFormat="1"/>
    <xf numFmtId="169" fontId="15" fillId="12" borderId="1" xfId="0" applyNumberFormat="1" applyFont="1" applyFill="1" applyBorder="1" applyAlignment="1">
      <alignment horizontal="right" vertical="center"/>
    </xf>
    <xf numFmtId="169" fontId="1" fillId="8" borderId="0" xfId="0" applyNumberFormat="1" applyFont="1" applyFill="1"/>
    <xf numFmtId="169" fontId="1" fillId="10" borderId="0" xfId="0" applyNumberFormat="1" applyFont="1" applyFill="1"/>
    <xf numFmtId="169" fontId="12" fillId="0" borderId="0" xfId="0" applyNumberFormat="1" applyFont="1"/>
    <xf numFmtId="0" fontId="3" fillId="2" borderId="0" xfId="1" applyFont="1" applyFill="1" applyAlignment="1">
      <alignment horizontal="center" vertical="center"/>
    </xf>
    <xf numFmtId="0" fontId="1" fillId="0" borderId="0" xfId="1"/>
    <xf numFmtId="0" fontId="4" fillId="0" borderId="0" xfId="1" applyFont="1" applyAlignment="1">
      <alignment horizontal="left" vertical="center" wrapText="1"/>
    </xf>
    <xf numFmtId="0" fontId="6" fillId="4" borderId="0" xfId="1" applyFont="1" applyFill="1" applyAlignment="1">
      <alignment horizontal="left" vertical="center"/>
    </xf>
    <xf numFmtId="0" fontId="7" fillId="5" borderId="0" xfId="1" applyFont="1" applyFill="1" applyAlignment="1">
      <alignment horizontal="left" vertical="center" wrapText="1"/>
    </xf>
    <xf numFmtId="0" fontId="8" fillId="6" borderId="0" xfId="1" applyFont="1" applyFill="1" applyAlignment="1">
      <alignment horizontal="center" vertical="center"/>
    </xf>
    <xf numFmtId="169" fontId="14" fillId="0" borderId="0" xfId="0" applyNumberFormat="1" applyFont="1" applyAlignment="1">
      <alignment horizontal="center" vertical="center"/>
    </xf>
    <xf numFmtId="169" fontId="1" fillId="0" borderId="0" xfId="0" applyNumberFormat="1" applyFont="1"/>
    <xf numFmtId="1" fontId="14" fillId="0" borderId="0" xfId="0" applyNumberFormat="1" applyFont="1" applyAlignment="1">
      <alignment horizontal="center" vertical="center"/>
    </xf>
    <xf numFmtId="1" fontId="1" fillId="0" borderId="0" xfId="0" applyNumberFormat="1" applyFont="1"/>
    <xf numFmtId="0" fontId="2" fillId="4" borderId="0" xfId="1" applyFont="1" applyFill="1" applyAlignment="1">
      <alignment horizontal="left" vertical="center"/>
    </xf>
    <xf numFmtId="165" fontId="13" fillId="10" borderId="0" xfId="1" applyNumberFormat="1" applyFont="1" applyFill="1" applyAlignment="1">
      <alignment horizontal="center"/>
    </xf>
    <xf numFmtId="167" fontId="13" fillId="10" borderId="0" xfId="1" applyNumberFormat="1" applyFont="1" applyFill="1" applyAlignment="1">
      <alignment horizontal="center"/>
    </xf>
    <xf numFmtId="0" fontId="13" fillId="10" borderId="0" xfId="1" applyFont="1" applyFill="1" applyAlignment="1">
      <alignment horizontal="center"/>
    </xf>
    <xf numFmtId="0" fontId="15" fillId="12" borderId="1" xfId="0" applyFont="1" applyFill="1" applyBorder="1" applyAlignment="1">
      <alignment horizontal="left" vertical="center"/>
    </xf>
    <xf numFmtId="0" fontId="16" fillId="13" borderId="0" xfId="0" applyFont="1" applyFill="1" applyAlignment="1">
      <alignment horizontal="center"/>
    </xf>
    <xf numFmtId="169" fontId="17" fillId="0" borderId="0" xfId="0" applyNumberFormat="1" applyFont="1" applyAlignment="1">
      <alignment horizontal="center" vertical="center"/>
    </xf>
  </cellXfs>
  <cellStyles count="3">
    <cellStyle name="Moned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GT"/>
              <a:t>Evolución del crédito seleccionado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'TABLERO CREDITOS'!$B$14</c:f>
              <c:strCache>
                <c:ptCount val="1"/>
                <c:pt idx="0">
                  <c:v>Crédito seleccionado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'TABLERO CREDITOS'!$A$15:$A$33</c:f>
              <c:numCache>
                <c:formatCode>dd/mm/yyyy</c:formatCode>
                <c:ptCount val="19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</c:numCache>
            </c:numRef>
          </c:cat>
          <c:val>
            <c:numRef>
              <c:f>'TABLERO CREDITOS'!$B$15:$B$33</c:f>
              <c:numCache>
                <c:formatCode>\Q\ #,##0.00;[Red]\(\Q\ #,##0.00\);\-</c:formatCode>
                <c:ptCount val="19"/>
                <c:pt idx="0">
                  <c:v>9716.2900000000009</c:v>
                </c:pt>
                <c:pt idx="1">
                  <c:v>0</c:v>
                </c:pt>
                <c:pt idx="2">
                  <c:v>2343.56</c:v>
                </c:pt>
                <c:pt idx="3">
                  <c:v>4295.79</c:v>
                </c:pt>
                <c:pt idx="4">
                  <c:v>1503.46</c:v>
                </c:pt>
                <c:pt idx="5">
                  <c:v>622.82000000000005</c:v>
                </c:pt>
                <c:pt idx="6">
                  <c:v>2766.44</c:v>
                </c:pt>
                <c:pt idx="7">
                  <c:v>814.73</c:v>
                </c:pt>
                <c:pt idx="8">
                  <c:v>0</c:v>
                </c:pt>
                <c:pt idx="9">
                  <c:v>2835.55</c:v>
                </c:pt>
                <c:pt idx="10">
                  <c:v>32978.11</c:v>
                </c:pt>
                <c:pt idx="11">
                  <c:v>8363.25</c:v>
                </c:pt>
                <c:pt idx="12">
                  <c:v>3237.82</c:v>
                </c:pt>
                <c:pt idx="13">
                  <c:v>11399.17</c:v>
                </c:pt>
                <c:pt idx="14">
                  <c:v>902.05</c:v>
                </c:pt>
                <c:pt idx="15">
                  <c:v>519.84</c:v>
                </c:pt>
                <c:pt idx="16">
                  <c:v>3533.68</c:v>
                </c:pt>
                <c:pt idx="17">
                  <c:v>8791.41</c:v>
                </c:pt>
                <c:pt idx="18">
                  <c:v>8257.92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94-47E3-8145-010E8EFD4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r>
                  <a:rPr lang="es-GT"/>
                  <a:t>Fecha</a:t>
                </a:r>
              </a:p>
            </c:rich>
          </c:tx>
          <c:overlay val="1"/>
        </c:title>
        <c:numFmt formatCode="dd/mm/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r>
                  <a:rPr lang="es-GT"/>
                  <a:t>Créditos</a:t>
                </a:r>
              </a:p>
            </c:rich>
          </c:tx>
          <c:overlay val="1"/>
        </c:title>
        <c:numFmt formatCode="\Q\ #,##0.00;[Red]\(\Q\ #,##0.0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 anchorCtr="1"/>
        <a:lstStyle/>
        <a:p>
          <a:pPr rtl="0">
            <a:defRPr/>
          </a:pPr>
          <a:endParaRPr lang="es-G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GT"/>
              <a:t>Créditos por cuenta en el rango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'TABLERO CREDITOS'!$H$14</c:f>
              <c:strCache>
                <c:ptCount val="1"/>
                <c:pt idx="0">
                  <c:v>Crédito en rango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'TABLERO CREDITOS'!$G$15:$G$22</c:f>
              <c:strCache>
                <c:ptCount val="8"/>
                <c:pt idx="0">
                  <c:v>9596</c:v>
                </c:pt>
                <c:pt idx="1">
                  <c:v>2509</c:v>
                </c:pt>
                <c:pt idx="2">
                  <c:v>4978</c:v>
                </c:pt>
                <c:pt idx="3">
                  <c:v>0386</c:v>
                </c:pt>
                <c:pt idx="4">
                  <c:v>6715</c:v>
                </c:pt>
                <c:pt idx="5">
                  <c:v>0049</c:v>
                </c:pt>
                <c:pt idx="6">
                  <c:v>8202</c:v>
                </c:pt>
                <c:pt idx="7">
                  <c:v>1962</c:v>
                </c:pt>
              </c:strCache>
            </c:strRef>
          </c:cat>
          <c:val>
            <c:numRef>
              <c:f>'TABLERO CREDITOS'!$H$15:$H$22</c:f>
              <c:numCache>
                <c:formatCode>\Q\ #,##0.00;[Red]\(\Q\ #,##0.00\);\-</c:formatCode>
                <c:ptCount val="8"/>
                <c:pt idx="0">
                  <c:v>24450.060000000005</c:v>
                </c:pt>
                <c:pt idx="1">
                  <c:v>7792.46</c:v>
                </c:pt>
                <c:pt idx="2">
                  <c:v>4756.09</c:v>
                </c:pt>
                <c:pt idx="3">
                  <c:v>9106.92</c:v>
                </c:pt>
                <c:pt idx="4">
                  <c:v>18332.919999999998</c:v>
                </c:pt>
                <c:pt idx="5">
                  <c:v>5636.83</c:v>
                </c:pt>
                <c:pt idx="6">
                  <c:v>32704.7</c:v>
                </c:pt>
                <c:pt idx="7">
                  <c:v>101.91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C-41A0-8F27-E22BB8285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numFmt formatCode="\Q\ #,##0.00;[Red]\(\Q\ #,##0.0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35</xdr:row>
      <xdr:rowOff>0</xdr:rowOff>
    </xdr:from>
    <xdr:ext cx="5400000" cy="270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12</xdr:row>
      <xdr:rowOff>0</xdr:rowOff>
    </xdr:from>
    <xdr:ext cx="5400000" cy="2700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dosPorCuenta" displayName="SaldosPorCuenta" ref="A4:D12" totalsRowShown="0">
  <tableColumns count="4">
    <tableColumn id="1" xr3:uid="{00000000-0010-0000-0000-000001000000}" name="Banco"/>
    <tableColumn id="2" xr3:uid="{00000000-0010-0000-0000-000002000000}" name="Cuenta"/>
    <tableColumn id="3" xr3:uid="{00000000-0010-0000-0000-000003000000}" name="Saldo inicial "/>
    <tableColumn id="4" xr3:uid="{00000000-0010-0000-0000-000004000000}" name="Saldo final 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/>
  </sheetViews>
  <sheetFormatPr baseColWidth="10" defaultColWidth="10.33203125" defaultRowHeight="13.8"/>
  <cols>
    <col min="1" max="1" width="27.44140625" style="8" customWidth="1"/>
    <col min="2" max="2" width="13.6640625" style="8" customWidth="1"/>
    <col min="3" max="4" width="27.44140625" style="8" customWidth="1"/>
    <col min="5" max="16384" width="10.33203125" style="8"/>
  </cols>
  <sheetData>
    <row r="1" spans="1:4" ht="20.85" customHeight="1">
      <c r="A1" s="38" t="s">
        <v>0</v>
      </c>
      <c r="B1" s="39"/>
      <c r="C1" s="39"/>
      <c r="D1" s="39"/>
    </row>
    <row r="2" spans="1:4" ht="22.35" customHeight="1">
      <c r="A2" s="40" t="s">
        <v>1</v>
      </c>
      <c r="B2" s="39"/>
      <c r="C2" s="39"/>
      <c r="D2" s="39"/>
    </row>
    <row r="4" spans="1:4" ht="24" customHeight="1">
      <c r="A4" s="9" t="s">
        <v>2</v>
      </c>
      <c r="B4" s="9" t="s">
        <v>3</v>
      </c>
      <c r="C4" s="9" t="s">
        <v>4</v>
      </c>
      <c r="D4" s="9" t="s">
        <v>5</v>
      </c>
    </row>
    <row r="5" spans="1:4" ht="16.05" customHeight="1">
      <c r="A5" s="10" t="s">
        <v>6</v>
      </c>
      <c r="B5" s="11" t="s">
        <v>7</v>
      </c>
      <c r="C5" s="12">
        <v>76663.7</v>
      </c>
      <c r="D5" s="12">
        <v>71075.34</v>
      </c>
    </row>
    <row r="6" spans="1:4" ht="16.05" customHeight="1">
      <c r="A6" s="10" t="s">
        <v>8</v>
      </c>
      <c r="B6" s="11" t="s">
        <v>9</v>
      </c>
      <c r="C6" s="12">
        <v>14148.75</v>
      </c>
      <c r="D6" s="12">
        <v>21941.21</v>
      </c>
    </row>
    <row r="7" spans="1:4" ht="16.05" customHeight="1">
      <c r="A7" s="10" t="s">
        <v>8</v>
      </c>
      <c r="B7" s="11" t="s">
        <v>10</v>
      </c>
      <c r="C7" s="12">
        <v>33171.599999999999</v>
      </c>
      <c r="D7" s="12">
        <v>28319.18</v>
      </c>
    </row>
    <row r="8" spans="1:4" ht="16.05" customHeight="1">
      <c r="A8" s="10" t="s">
        <v>11</v>
      </c>
      <c r="B8" s="11" t="s">
        <v>12</v>
      </c>
      <c r="C8" s="12">
        <v>9086.82</v>
      </c>
      <c r="D8" s="12">
        <v>6003.86</v>
      </c>
    </row>
    <row r="9" spans="1:4" ht="16.05" customHeight="1">
      <c r="A9" s="10" t="s">
        <v>11</v>
      </c>
      <c r="B9" s="11" t="s">
        <v>13</v>
      </c>
      <c r="C9" s="12">
        <v>80183.38</v>
      </c>
      <c r="D9" s="12">
        <v>81910.289999999994</v>
      </c>
    </row>
    <row r="10" spans="1:4" ht="16.05" customHeight="1">
      <c r="A10" s="10" t="s">
        <v>14</v>
      </c>
      <c r="B10" s="11" t="s">
        <v>15</v>
      </c>
      <c r="C10" s="12">
        <v>51799.49</v>
      </c>
      <c r="D10" s="12">
        <v>33700.51</v>
      </c>
    </row>
    <row r="11" spans="1:4" ht="16.05" customHeight="1">
      <c r="A11" s="10" t="s">
        <v>16</v>
      </c>
      <c r="B11" s="11" t="s">
        <v>17</v>
      </c>
      <c r="C11" s="12">
        <v>38443.89</v>
      </c>
      <c r="D11" s="12">
        <v>25869.5</v>
      </c>
    </row>
    <row r="12" spans="1:4" ht="16.05" customHeight="1">
      <c r="A12" s="10" t="s">
        <v>16</v>
      </c>
      <c r="B12" s="11" t="s">
        <v>18</v>
      </c>
      <c r="C12" s="12">
        <v>31.71</v>
      </c>
      <c r="D12" s="12">
        <v>125.63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4"/>
  <sheetViews>
    <sheetView workbookViewId="0"/>
  </sheetViews>
  <sheetFormatPr baseColWidth="10" defaultColWidth="10.33203125" defaultRowHeight="13.8"/>
  <cols>
    <col min="1" max="1" width="19.44140625" style="3" customWidth="1"/>
    <col min="2" max="2" width="13.6640625" style="3" customWidth="1"/>
    <col min="3" max="3" width="24" style="3" customWidth="1"/>
    <col min="4" max="4" width="13.6640625" style="3" customWidth="1"/>
    <col min="5" max="5" width="40" style="3" customWidth="1"/>
    <col min="6" max="6" width="29.6640625" style="3" customWidth="1"/>
    <col min="7" max="7" width="30.88671875" style="8" customWidth="1"/>
    <col min="8" max="8" width="40" style="3" customWidth="1"/>
    <col min="9" max="9" width="10.33203125" style="3" customWidth="1"/>
    <col min="10" max="16384" width="10.33203125" style="3"/>
  </cols>
  <sheetData>
    <row r="1" spans="1:8" ht="27.15" customHeight="1">
      <c r="A1" s="1" t="s">
        <v>2</v>
      </c>
      <c r="B1" s="1" t="s">
        <v>3</v>
      </c>
      <c r="C1" s="2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 spans="1:8">
      <c r="A2" s="4" t="s">
        <v>25</v>
      </c>
      <c r="B2" s="4" t="s">
        <v>7</v>
      </c>
      <c r="C2" s="5">
        <v>46235</v>
      </c>
      <c r="D2" s="4" t="s">
        <v>26</v>
      </c>
      <c r="E2" s="4" t="s">
        <v>27</v>
      </c>
      <c r="F2" s="6">
        <v>0</v>
      </c>
      <c r="G2" s="6">
        <v>38.42</v>
      </c>
      <c r="H2" s="6">
        <v>76663.7</v>
      </c>
    </row>
    <row r="3" spans="1:8">
      <c r="A3" s="4" t="s">
        <v>25</v>
      </c>
      <c r="B3" s="4" t="s">
        <v>7</v>
      </c>
      <c r="C3" s="5">
        <v>46235</v>
      </c>
      <c r="D3" s="4" t="s">
        <v>28</v>
      </c>
      <c r="E3" s="4" t="s">
        <v>29</v>
      </c>
      <c r="F3" s="6">
        <v>0</v>
      </c>
      <c r="G3" s="6">
        <v>85.88</v>
      </c>
      <c r="H3" s="6">
        <v>76749.58</v>
      </c>
    </row>
    <row r="4" spans="1:8">
      <c r="A4" s="4" t="s">
        <v>25</v>
      </c>
      <c r="B4" s="4" t="s">
        <v>7</v>
      </c>
      <c r="C4" s="5">
        <v>46237</v>
      </c>
      <c r="D4" s="4" t="s">
        <v>26</v>
      </c>
      <c r="E4" s="4" t="s">
        <v>27</v>
      </c>
      <c r="F4" s="6">
        <v>0</v>
      </c>
      <c r="G4" s="6">
        <v>333.35</v>
      </c>
      <c r="H4" s="6">
        <v>77082.929999999993</v>
      </c>
    </row>
    <row r="5" spans="1:8">
      <c r="A5" s="4" t="s">
        <v>25</v>
      </c>
      <c r="B5" s="4" t="s">
        <v>7</v>
      </c>
      <c r="C5" s="5">
        <v>46238</v>
      </c>
      <c r="D5" s="4" t="s">
        <v>26</v>
      </c>
      <c r="E5" s="4" t="s">
        <v>27</v>
      </c>
      <c r="F5" s="6">
        <v>0</v>
      </c>
      <c r="G5" s="6">
        <v>1929.79</v>
      </c>
      <c r="H5" s="6">
        <v>79012.72</v>
      </c>
    </row>
    <row r="6" spans="1:8">
      <c r="A6" s="4" t="s">
        <v>25</v>
      </c>
      <c r="B6" s="4" t="s">
        <v>7</v>
      </c>
      <c r="C6" s="5">
        <v>46239</v>
      </c>
      <c r="D6" s="4" t="s">
        <v>30</v>
      </c>
      <c r="E6" s="4" t="s">
        <v>27</v>
      </c>
      <c r="F6" s="6">
        <v>0</v>
      </c>
      <c r="G6" s="6">
        <v>197.75</v>
      </c>
      <c r="H6" s="6">
        <v>79210.47</v>
      </c>
    </row>
    <row r="7" spans="1:8">
      <c r="A7" s="4" t="s">
        <v>25</v>
      </c>
      <c r="B7" s="4" t="s">
        <v>7</v>
      </c>
      <c r="C7" s="5">
        <v>46240</v>
      </c>
      <c r="D7" s="4" t="s">
        <v>31</v>
      </c>
      <c r="E7" s="4" t="s">
        <v>32</v>
      </c>
      <c r="F7" s="6">
        <v>0</v>
      </c>
      <c r="G7" s="6">
        <v>205.15</v>
      </c>
      <c r="H7" s="6">
        <v>79415.62</v>
      </c>
    </row>
    <row r="8" spans="1:8">
      <c r="A8" s="4" t="s">
        <v>25</v>
      </c>
      <c r="B8" s="4" t="s">
        <v>7</v>
      </c>
      <c r="C8" s="5">
        <v>46240</v>
      </c>
      <c r="D8" s="4" t="s">
        <v>26</v>
      </c>
      <c r="E8" s="4" t="s">
        <v>27</v>
      </c>
      <c r="F8" s="6">
        <v>0</v>
      </c>
      <c r="G8" s="6">
        <v>417.67</v>
      </c>
      <c r="H8" s="6">
        <v>79833.289999999994</v>
      </c>
    </row>
    <row r="9" spans="1:8">
      <c r="A9" s="4" t="s">
        <v>25</v>
      </c>
      <c r="B9" s="4" t="s">
        <v>7</v>
      </c>
      <c r="C9" s="5">
        <v>46241</v>
      </c>
      <c r="D9" s="4" t="s">
        <v>26</v>
      </c>
      <c r="E9" s="4" t="s">
        <v>27</v>
      </c>
      <c r="F9" s="6">
        <v>0</v>
      </c>
      <c r="G9" s="6">
        <v>406.8</v>
      </c>
      <c r="H9" s="6">
        <v>80240.09</v>
      </c>
    </row>
    <row r="10" spans="1:8">
      <c r="A10" s="4" t="s">
        <v>25</v>
      </c>
      <c r="B10" s="4" t="s">
        <v>7</v>
      </c>
      <c r="C10" s="5">
        <v>46241</v>
      </c>
      <c r="D10" s="4" t="s">
        <v>33</v>
      </c>
      <c r="E10" s="4" t="s">
        <v>34</v>
      </c>
      <c r="F10" s="6">
        <v>0</v>
      </c>
      <c r="G10" s="6">
        <v>211.88</v>
      </c>
      <c r="H10" s="6">
        <v>80451.97</v>
      </c>
    </row>
    <row r="11" spans="1:8">
      <c r="A11" s="4" t="s">
        <v>25</v>
      </c>
      <c r="B11" s="4" t="s">
        <v>7</v>
      </c>
      <c r="C11" s="5">
        <v>46241</v>
      </c>
      <c r="D11" s="4" t="s">
        <v>35</v>
      </c>
      <c r="E11" s="4" t="s">
        <v>34</v>
      </c>
      <c r="F11" s="6">
        <v>0</v>
      </c>
      <c r="G11" s="6">
        <v>497.2</v>
      </c>
      <c r="H11" s="6">
        <v>80949.17</v>
      </c>
    </row>
    <row r="12" spans="1:8">
      <c r="A12" s="4" t="s">
        <v>25</v>
      </c>
      <c r="B12" s="4" t="s">
        <v>7</v>
      </c>
      <c r="C12" s="5">
        <v>46244</v>
      </c>
      <c r="D12" s="4" t="s">
        <v>26</v>
      </c>
      <c r="E12" s="4" t="s">
        <v>27</v>
      </c>
      <c r="F12" s="6">
        <v>0</v>
      </c>
      <c r="G12" s="6">
        <v>542.4</v>
      </c>
      <c r="H12" s="6">
        <v>81491.570000000007</v>
      </c>
    </row>
    <row r="13" spans="1:8">
      <c r="A13" s="4" t="s">
        <v>25</v>
      </c>
      <c r="B13" s="4" t="s">
        <v>7</v>
      </c>
      <c r="C13" s="5">
        <v>46244</v>
      </c>
      <c r="D13" s="4" t="s">
        <v>36</v>
      </c>
      <c r="E13" s="4" t="s">
        <v>37</v>
      </c>
      <c r="F13" s="6">
        <v>0</v>
      </c>
      <c r="G13" s="6">
        <v>174.02</v>
      </c>
      <c r="H13" s="6">
        <v>81665.59</v>
      </c>
    </row>
    <row r="14" spans="1:8">
      <c r="A14" s="4" t="s">
        <v>25</v>
      </c>
      <c r="B14" s="4" t="s">
        <v>7</v>
      </c>
      <c r="C14" s="5">
        <v>46245</v>
      </c>
      <c r="D14" s="4" t="s">
        <v>26</v>
      </c>
      <c r="E14" s="4" t="s">
        <v>27</v>
      </c>
      <c r="F14" s="6">
        <v>0</v>
      </c>
      <c r="G14" s="6">
        <v>103.96</v>
      </c>
      <c r="H14" s="6">
        <v>81769.55</v>
      </c>
    </row>
    <row r="15" spans="1:8">
      <c r="A15" s="4" t="s">
        <v>25</v>
      </c>
      <c r="B15" s="4" t="s">
        <v>7</v>
      </c>
      <c r="C15" s="5">
        <v>46245</v>
      </c>
      <c r="D15" s="4" t="s">
        <v>38</v>
      </c>
      <c r="E15" s="4" t="s">
        <v>39</v>
      </c>
      <c r="F15" s="6">
        <v>30000</v>
      </c>
      <c r="G15" s="6">
        <v>0</v>
      </c>
      <c r="H15" s="6">
        <v>51769.55</v>
      </c>
    </row>
    <row r="16" spans="1:8">
      <c r="A16" s="4" t="s">
        <v>25</v>
      </c>
      <c r="B16" s="4" t="s">
        <v>7</v>
      </c>
      <c r="C16" s="5">
        <v>46245</v>
      </c>
      <c r="D16" s="4" t="s">
        <v>40</v>
      </c>
      <c r="E16" s="4" t="s">
        <v>41</v>
      </c>
      <c r="F16" s="6">
        <v>0</v>
      </c>
      <c r="G16" s="6">
        <v>167.24</v>
      </c>
      <c r="H16" s="6">
        <v>51936.79</v>
      </c>
    </row>
    <row r="17" spans="1:8">
      <c r="A17" s="4" t="s">
        <v>25</v>
      </c>
      <c r="B17" s="4" t="s">
        <v>7</v>
      </c>
      <c r="C17" s="5">
        <v>46245</v>
      </c>
      <c r="D17" s="4" t="s">
        <v>42</v>
      </c>
      <c r="E17" s="4" t="s">
        <v>43</v>
      </c>
      <c r="F17" s="6">
        <v>0</v>
      </c>
      <c r="G17" s="6">
        <v>632.79999999999995</v>
      </c>
      <c r="H17" s="6">
        <v>52569.59</v>
      </c>
    </row>
    <row r="18" spans="1:8">
      <c r="A18" s="4" t="s">
        <v>25</v>
      </c>
      <c r="B18" s="4" t="s">
        <v>7</v>
      </c>
      <c r="C18" s="5">
        <v>46246</v>
      </c>
      <c r="D18" s="4" t="s">
        <v>44</v>
      </c>
      <c r="E18" s="4" t="s">
        <v>45</v>
      </c>
      <c r="F18" s="6">
        <v>0</v>
      </c>
      <c r="G18" s="6">
        <v>1051.1199999999999</v>
      </c>
      <c r="H18" s="6">
        <v>53620.71</v>
      </c>
    </row>
    <row r="19" spans="1:8">
      <c r="A19" s="4" t="s">
        <v>25</v>
      </c>
      <c r="B19" s="4" t="s">
        <v>7</v>
      </c>
      <c r="C19" s="5">
        <v>46246</v>
      </c>
      <c r="D19" s="4" t="s">
        <v>46</v>
      </c>
      <c r="E19" s="4" t="s">
        <v>47</v>
      </c>
      <c r="F19" s="6">
        <v>0</v>
      </c>
      <c r="G19" s="6">
        <v>3494.5</v>
      </c>
      <c r="H19" s="6">
        <v>57115.21</v>
      </c>
    </row>
    <row r="20" spans="1:8">
      <c r="A20" s="4" t="s">
        <v>25</v>
      </c>
      <c r="B20" s="4" t="s">
        <v>7</v>
      </c>
      <c r="C20" s="5">
        <v>46246</v>
      </c>
      <c r="D20" s="4" t="s">
        <v>48</v>
      </c>
      <c r="E20" s="4" t="s">
        <v>49</v>
      </c>
      <c r="F20" s="6">
        <v>0</v>
      </c>
      <c r="G20" s="6">
        <v>362.88</v>
      </c>
      <c r="H20" s="6">
        <v>57478.09</v>
      </c>
    </row>
    <row r="21" spans="1:8">
      <c r="A21" s="4" t="s">
        <v>25</v>
      </c>
      <c r="B21" s="4" t="s">
        <v>7</v>
      </c>
      <c r="C21" s="5">
        <v>46246</v>
      </c>
      <c r="D21" s="4" t="s">
        <v>50</v>
      </c>
      <c r="E21" s="4" t="s">
        <v>51</v>
      </c>
      <c r="F21" s="6">
        <v>0</v>
      </c>
      <c r="G21" s="6">
        <v>42</v>
      </c>
      <c r="H21" s="6">
        <v>57520.09</v>
      </c>
    </row>
    <row r="22" spans="1:8">
      <c r="A22" s="4" t="s">
        <v>25</v>
      </c>
      <c r="B22" s="4" t="s">
        <v>7</v>
      </c>
      <c r="C22" s="5">
        <v>46246</v>
      </c>
      <c r="D22" s="4" t="s">
        <v>52</v>
      </c>
      <c r="E22" s="4" t="s">
        <v>53</v>
      </c>
      <c r="F22" s="6">
        <v>0</v>
      </c>
      <c r="G22" s="6">
        <v>447.48</v>
      </c>
      <c r="H22" s="6">
        <v>57967.57</v>
      </c>
    </row>
    <row r="23" spans="1:8">
      <c r="A23" s="4" t="s">
        <v>25</v>
      </c>
      <c r="B23" s="4" t="s">
        <v>7</v>
      </c>
      <c r="C23" s="5">
        <v>46246</v>
      </c>
      <c r="D23" s="4" t="s">
        <v>54</v>
      </c>
      <c r="E23" s="4" t="s">
        <v>55</v>
      </c>
      <c r="F23" s="6">
        <v>0</v>
      </c>
      <c r="G23" s="6">
        <v>712.32</v>
      </c>
      <c r="H23" s="6">
        <v>58679.89</v>
      </c>
    </row>
    <row r="24" spans="1:8">
      <c r="A24" s="4" t="s">
        <v>25</v>
      </c>
      <c r="B24" s="4" t="s">
        <v>7</v>
      </c>
      <c r="C24" s="5">
        <v>46247</v>
      </c>
      <c r="D24" s="4" t="s">
        <v>26</v>
      </c>
      <c r="E24" s="4" t="s">
        <v>27</v>
      </c>
      <c r="F24" s="6">
        <v>0</v>
      </c>
      <c r="G24" s="6">
        <v>13.56</v>
      </c>
      <c r="H24" s="6">
        <v>58693.45</v>
      </c>
    </row>
    <row r="25" spans="1:8">
      <c r="A25" s="4" t="s">
        <v>25</v>
      </c>
      <c r="B25" s="4" t="s">
        <v>7</v>
      </c>
      <c r="C25" s="5">
        <v>46247</v>
      </c>
      <c r="D25" s="4" t="s">
        <v>56</v>
      </c>
      <c r="E25" s="4" t="s">
        <v>43</v>
      </c>
      <c r="F25" s="6">
        <v>0</v>
      </c>
      <c r="G25" s="6">
        <v>128</v>
      </c>
      <c r="H25" s="6">
        <v>58821.45</v>
      </c>
    </row>
    <row r="26" spans="1:8">
      <c r="A26" s="4" t="s">
        <v>25</v>
      </c>
      <c r="B26" s="4" t="s">
        <v>7</v>
      </c>
      <c r="C26" s="5">
        <v>46247</v>
      </c>
      <c r="D26" s="4" t="s">
        <v>57</v>
      </c>
      <c r="E26" s="4" t="s">
        <v>58</v>
      </c>
      <c r="F26" s="6">
        <v>0</v>
      </c>
      <c r="G26" s="6">
        <v>463.3</v>
      </c>
      <c r="H26" s="6">
        <v>59284.75</v>
      </c>
    </row>
    <row r="27" spans="1:8">
      <c r="A27" s="4" t="s">
        <v>25</v>
      </c>
      <c r="B27" s="4" t="s">
        <v>7</v>
      </c>
      <c r="C27" s="5">
        <v>46248</v>
      </c>
      <c r="D27" s="4" t="s">
        <v>26</v>
      </c>
      <c r="E27" s="4" t="s">
        <v>27</v>
      </c>
      <c r="F27" s="6">
        <v>0</v>
      </c>
      <c r="G27" s="6">
        <v>474.6</v>
      </c>
      <c r="H27" s="6">
        <v>59759.35</v>
      </c>
    </row>
    <row r="28" spans="1:8">
      <c r="A28" s="4" t="s">
        <v>25</v>
      </c>
      <c r="B28" s="4" t="s">
        <v>7</v>
      </c>
      <c r="C28" s="5">
        <v>46248</v>
      </c>
      <c r="D28" s="4" t="s">
        <v>59</v>
      </c>
      <c r="E28" s="4" t="s">
        <v>60</v>
      </c>
      <c r="F28" s="6">
        <v>0</v>
      </c>
      <c r="G28" s="6">
        <v>96.05</v>
      </c>
      <c r="H28" s="6">
        <v>59855.4</v>
      </c>
    </row>
    <row r="29" spans="1:8">
      <c r="A29" s="4" t="s">
        <v>25</v>
      </c>
      <c r="B29" s="4" t="s">
        <v>7</v>
      </c>
      <c r="C29" s="5">
        <v>46248</v>
      </c>
      <c r="D29" s="4" t="s">
        <v>61</v>
      </c>
      <c r="E29" s="4" t="s">
        <v>62</v>
      </c>
      <c r="F29" s="6">
        <v>0</v>
      </c>
      <c r="G29" s="6">
        <v>685.44</v>
      </c>
      <c r="H29" s="6">
        <v>60540.84</v>
      </c>
    </row>
    <row r="30" spans="1:8">
      <c r="A30" s="4" t="s">
        <v>25</v>
      </c>
      <c r="B30" s="4" t="s">
        <v>7</v>
      </c>
      <c r="C30" s="5">
        <v>46248</v>
      </c>
      <c r="D30" s="4" t="s">
        <v>63</v>
      </c>
      <c r="E30" s="4" t="s">
        <v>64</v>
      </c>
      <c r="F30" s="6">
        <v>0</v>
      </c>
      <c r="G30" s="6">
        <v>170</v>
      </c>
      <c r="H30" s="6">
        <v>60710.84</v>
      </c>
    </row>
    <row r="31" spans="1:8">
      <c r="A31" s="4" t="s">
        <v>25</v>
      </c>
      <c r="B31" s="4" t="s">
        <v>7</v>
      </c>
      <c r="C31" s="5">
        <v>46248</v>
      </c>
      <c r="D31" s="4" t="s">
        <v>65</v>
      </c>
      <c r="E31" s="4" t="s">
        <v>66</v>
      </c>
      <c r="F31" s="6">
        <v>0</v>
      </c>
      <c r="G31" s="6">
        <v>427.14</v>
      </c>
      <c r="H31" s="6">
        <v>61137.98</v>
      </c>
    </row>
    <row r="32" spans="1:8">
      <c r="A32" s="4" t="s">
        <v>25</v>
      </c>
      <c r="B32" s="4" t="s">
        <v>7</v>
      </c>
      <c r="C32" s="5">
        <v>46248</v>
      </c>
      <c r="D32" s="4" t="s">
        <v>67</v>
      </c>
      <c r="E32" s="4" t="s">
        <v>68</v>
      </c>
      <c r="F32" s="6">
        <v>0</v>
      </c>
      <c r="G32" s="6">
        <v>614.44000000000005</v>
      </c>
      <c r="H32" s="6">
        <v>61752.42</v>
      </c>
    </row>
    <row r="33" spans="1:8">
      <c r="A33" s="4" t="s">
        <v>25</v>
      </c>
      <c r="B33" s="4" t="s">
        <v>7</v>
      </c>
      <c r="C33" s="5">
        <v>46248</v>
      </c>
      <c r="D33" s="4" t="s">
        <v>69</v>
      </c>
      <c r="E33" s="4" t="s">
        <v>70</v>
      </c>
      <c r="F33" s="6">
        <v>0</v>
      </c>
      <c r="G33" s="6">
        <v>395.5</v>
      </c>
      <c r="H33" s="6">
        <v>62147.92</v>
      </c>
    </row>
    <row r="34" spans="1:8">
      <c r="A34" s="4" t="s">
        <v>25</v>
      </c>
      <c r="B34" s="4" t="s">
        <v>7</v>
      </c>
      <c r="C34" s="5">
        <v>46248</v>
      </c>
      <c r="D34" s="4" t="s">
        <v>71</v>
      </c>
      <c r="E34" s="4" t="s">
        <v>72</v>
      </c>
      <c r="F34" s="6">
        <v>0</v>
      </c>
      <c r="G34" s="6">
        <v>824.64</v>
      </c>
      <c r="H34" s="6">
        <v>62972.56</v>
      </c>
    </row>
    <row r="35" spans="1:8">
      <c r="A35" s="4" t="s">
        <v>25</v>
      </c>
      <c r="B35" s="4" t="s">
        <v>7</v>
      </c>
      <c r="C35" s="5">
        <v>46248</v>
      </c>
      <c r="D35" s="4" t="s">
        <v>73</v>
      </c>
      <c r="E35" s="4" t="s">
        <v>74</v>
      </c>
      <c r="F35" s="6">
        <v>0</v>
      </c>
      <c r="G35" s="6">
        <v>5389.63</v>
      </c>
      <c r="H35" s="6">
        <v>68362.19</v>
      </c>
    </row>
    <row r="36" spans="1:8">
      <c r="A36" s="4" t="s">
        <v>25</v>
      </c>
      <c r="B36" s="4" t="s">
        <v>7</v>
      </c>
      <c r="C36" s="5">
        <v>46250</v>
      </c>
      <c r="D36" s="4" t="s">
        <v>26</v>
      </c>
      <c r="E36" s="4" t="s">
        <v>27</v>
      </c>
      <c r="F36" s="6">
        <v>0</v>
      </c>
      <c r="G36" s="6">
        <v>282.5</v>
      </c>
      <c r="H36" s="6">
        <v>68644.69</v>
      </c>
    </row>
    <row r="37" spans="1:8">
      <c r="A37" s="4" t="s">
        <v>25</v>
      </c>
      <c r="B37" s="4" t="s">
        <v>7</v>
      </c>
      <c r="C37" s="5">
        <v>46251</v>
      </c>
      <c r="D37" s="4" t="s">
        <v>26</v>
      </c>
      <c r="E37" s="4" t="s">
        <v>27</v>
      </c>
      <c r="F37" s="6">
        <v>0</v>
      </c>
      <c r="G37" s="6">
        <v>387.59</v>
      </c>
      <c r="H37" s="6">
        <v>69032.28</v>
      </c>
    </row>
    <row r="38" spans="1:8">
      <c r="A38" s="4" t="s">
        <v>25</v>
      </c>
      <c r="B38" s="4" t="s">
        <v>7</v>
      </c>
      <c r="C38" s="5">
        <v>46252</v>
      </c>
      <c r="D38" s="4" t="s">
        <v>26</v>
      </c>
      <c r="E38" s="4" t="s">
        <v>27</v>
      </c>
      <c r="F38" s="6">
        <v>0</v>
      </c>
      <c r="G38" s="6">
        <v>783.09</v>
      </c>
      <c r="H38" s="6">
        <v>69815.37</v>
      </c>
    </row>
    <row r="39" spans="1:8">
      <c r="A39" s="4" t="s">
        <v>25</v>
      </c>
      <c r="B39" s="4" t="s">
        <v>7</v>
      </c>
      <c r="C39" s="5">
        <v>46252</v>
      </c>
      <c r="D39" s="4" t="s">
        <v>75</v>
      </c>
      <c r="E39" s="4" t="s">
        <v>76</v>
      </c>
      <c r="F39" s="6">
        <v>0</v>
      </c>
      <c r="G39" s="6">
        <v>41.15</v>
      </c>
      <c r="H39" s="6">
        <v>69856.52</v>
      </c>
    </row>
    <row r="40" spans="1:8">
      <c r="A40" s="4" t="s">
        <v>25</v>
      </c>
      <c r="B40" s="4" t="s">
        <v>7</v>
      </c>
      <c r="C40" s="5">
        <v>46252</v>
      </c>
      <c r="D40" s="4" t="s">
        <v>77</v>
      </c>
      <c r="E40" s="4" t="s">
        <v>78</v>
      </c>
      <c r="F40" s="6">
        <v>0</v>
      </c>
      <c r="G40" s="6">
        <v>158.19999999999999</v>
      </c>
      <c r="H40" s="6">
        <v>70014.720000000001</v>
      </c>
    </row>
    <row r="41" spans="1:8">
      <c r="A41" s="4" t="s">
        <v>25</v>
      </c>
      <c r="B41" s="4" t="s">
        <v>7</v>
      </c>
      <c r="C41" s="5">
        <v>46252</v>
      </c>
      <c r="D41" s="4" t="s">
        <v>79</v>
      </c>
      <c r="E41" s="4" t="s">
        <v>80</v>
      </c>
      <c r="F41" s="6">
        <v>0</v>
      </c>
      <c r="G41" s="6">
        <v>496.75</v>
      </c>
      <c r="H41" s="6">
        <v>70511.47</v>
      </c>
    </row>
    <row r="42" spans="1:8">
      <c r="A42" s="4" t="s">
        <v>25</v>
      </c>
      <c r="B42" s="4" t="s">
        <v>7</v>
      </c>
      <c r="C42" s="5">
        <v>46252</v>
      </c>
      <c r="D42" s="4" t="s">
        <v>81</v>
      </c>
      <c r="E42" s="4" t="s">
        <v>82</v>
      </c>
      <c r="F42" s="6">
        <v>0</v>
      </c>
      <c r="G42" s="6">
        <v>192.1</v>
      </c>
      <c r="H42" s="6">
        <v>70703.570000000007</v>
      </c>
    </row>
    <row r="43" spans="1:8">
      <c r="A43" s="4" t="s">
        <v>25</v>
      </c>
      <c r="B43" s="4" t="s">
        <v>7</v>
      </c>
      <c r="C43" s="5">
        <v>46253</v>
      </c>
      <c r="D43" s="4" t="s">
        <v>26</v>
      </c>
      <c r="E43" s="4" t="s">
        <v>27</v>
      </c>
      <c r="F43" s="6">
        <v>0</v>
      </c>
      <c r="G43" s="6">
        <v>371.77</v>
      </c>
      <c r="H43" s="6">
        <v>71075.34</v>
      </c>
    </row>
    <row r="44" spans="1:8">
      <c r="A44" s="4" t="s">
        <v>83</v>
      </c>
      <c r="B44" s="4" t="s">
        <v>9</v>
      </c>
      <c r="C44" s="5">
        <v>46237</v>
      </c>
      <c r="D44" s="4" t="s">
        <v>84</v>
      </c>
      <c r="E44" s="4" t="s">
        <v>85</v>
      </c>
      <c r="F44" s="6">
        <v>669.5</v>
      </c>
      <c r="G44" s="6">
        <v>0</v>
      </c>
      <c r="H44" s="6">
        <v>14148.75</v>
      </c>
    </row>
    <row r="45" spans="1:8">
      <c r="A45" s="4" t="s">
        <v>83</v>
      </c>
      <c r="B45" s="4" t="s">
        <v>9</v>
      </c>
      <c r="C45" s="5">
        <v>46238</v>
      </c>
      <c r="D45" s="4" t="s">
        <v>86</v>
      </c>
      <c r="E45" s="4" t="s">
        <v>87</v>
      </c>
      <c r="F45" s="6">
        <v>0</v>
      </c>
      <c r="G45" s="6">
        <v>985.6</v>
      </c>
      <c r="H45" s="6">
        <v>15134.35</v>
      </c>
    </row>
    <row r="46" spans="1:8">
      <c r="A46" s="4" t="s">
        <v>83</v>
      </c>
      <c r="B46" s="4" t="s">
        <v>9</v>
      </c>
      <c r="C46" s="5">
        <v>46241</v>
      </c>
      <c r="D46" s="4" t="s">
        <v>88</v>
      </c>
      <c r="E46" s="4" t="s">
        <v>89</v>
      </c>
      <c r="F46" s="6">
        <v>0</v>
      </c>
      <c r="G46" s="6">
        <v>67.8</v>
      </c>
      <c r="H46" s="6">
        <v>15134.35</v>
      </c>
    </row>
    <row r="47" spans="1:8">
      <c r="A47" s="4" t="s">
        <v>83</v>
      </c>
      <c r="B47" s="4" t="s">
        <v>9</v>
      </c>
      <c r="C47" s="5">
        <v>46244</v>
      </c>
      <c r="D47" s="4" t="s">
        <v>90</v>
      </c>
      <c r="E47" s="4" t="s">
        <v>87</v>
      </c>
      <c r="F47" s="6">
        <v>0</v>
      </c>
      <c r="G47" s="6">
        <v>113.14</v>
      </c>
      <c r="H47" s="6">
        <v>15315.29</v>
      </c>
    </row>
    <row r="48" spans="1:8">
      <c r="A48" s="4" t="s">
        <v>83</v>
      </c>
      <c r="B48" s="4" t="s">
        <v>9</v>
      </c>
      <c r="C48" s="5">
        <v>46245</v>
      </c>
      <c r="D48" s="4" t="s">
        <v>91</v>
      </c>
      <c r="E48" s="4" t="s">
        <v>92</v>
      </c>
      <c r="F48" s="6">
        <v>0</v>
      </c>
      <c r="G48" s="6">
        <v>372.9</v>
      </c>
      <c r="H48" s="6">
        <v>15315.29</v>
      </c>
    </row>
    <row r="49" spans="1:8">
      <c r="A49" s="4" t="s">
        <v>83</v>
      </c>
      <c r="B49" s="4" t="s">
        <v>9</v>
      </c>
      <c r="C49" s="5" t="s">
        <v>93</v>
      </c>
      <c r="D49" s="4" t="s">
        <v>94</v>
      </c>
      <c r="E49" s="4" t="s">
        <v>95</v>
      </c>
      <c r="F49" s="6">
        <v>0</v>
      </c>
      <c r="G49" s="6">
        <v>1.38</v>
      </c>
      <c r="H49" s="6">
        <v>15689.57</v>
      </c>
    </row>
    <row r="50" spans="1:8">
      <c r="A50" s="4" t="s">
        <v>83</v>
      </c>
      <c r="B50" s="4" t="s">
        <v>9</v>
      </c>
      <c r="C50" s="5">
        <v>46248</v>
      </c>
      <c r="D50" s="4" t="s">
        <v>96</v>
      </c>
      <c r="E50" s="4" t="s">
        <v>92</v>
      </c>
      <c r="F50" s="6">
        <v>0</v>
      </c>
      <c r="G50" s="6">
        <v>66.67</v>
      </c>
      <c r="H50" s="6">
        <v>15689.57</v>
      </c>
    </row>
    <row r="51" spans="1:8">
      <c r="A51" s="4" t="s">
        <v>83</v>
      </c>
      <c r="B51" s="4" t="s">
        <v>9</v>
      </c>
      <c r="C51" s="5">
        <v>46251</v>
      </c>
      <c r="D51" s="4" t="s">
        <v>97</v>
      </c>
      <c r="E51" s="4" t="s">
        <v>92</v>
      </c>
      <c r="F51" s="6">
        <v>0</v>
      </c>
      <c r="G51" s="6">
        <v>21.47</v>
      </c>
      <c r="H51" s="6">
        <v>15756.24</v>
      </c>
    </row>
    <row r="52" spans="1:8">
      <c r="A52" s="4" t="s">
        <v>83</v>
      </c>
      <c r="B52" s="4" t="s">
        <v>9</v>
      </c>
      <c r="C52" s="5">
        <v>46252</v>
      </c>
      <c r="D52" s="4" t="s">
        <v>98</v>
      </c>
      <c r="E52" s="4" t="s">
        <v>87</v>
      </c>
      <c r="F52" s="6">
        <v>0</v>
      </c>
      <c r="G52" s="6">
        <v>6163.5</v>
      </c>
      <c r="H52" s="6">
        <v>21941.21</v>
      </c>
    </row>
    <row r="53" spans="1:8">
      <c r="A53" s="4" t="s">
        <v>83</v>
      </c>
      <c r="B53" s="4" t="s">
        <v>10</v>
      </c>
      <c r="C53" s="5">
        <v>46235</v>
      </c>
      <c r="D53" s="4" t="s">
        <v>99</v>
      </c>
      <c r="E53" s="4" t="s">
        <v>100</v>
      </c>
      <c r="F53" s="6">
        <v>0</v>
      </c>
      <c r="G53" s="6">
        <v>176.16</v>
      </c>
      <c r="H53" s="6">
        <v>33171.599999999999</v>
      </c>
    </row>
    <row r="54" spans="1:8">
      <c r="A54" s="4" t="s">
        <v>83</v>
      </c>
      <c r="B54" s="4" t="s">
        <v>10</v>
      </c>
      <c r="C54" s="5">
        <v>46235</v>
      </c>
      <c r="D54" s="4" t="s">
        <v>101</v>
      </c>
      <c r="E54" s="4" t="s">
        <v>102</v>
      </c>
      <c r="F54" s="6">
        <v>1691.79</v>
      </c>
      <c r="G54" s="6">
        <v>0</v>
      </c>
      <c r="H54" s="6">
        <v>31479.81</v>
      </c>
    </row>
    <row r="55" spans="1:8">
      <c r="A55" s="4" t="s">
        <v>83</v>
      </c>
      <c r="B55" s="4" t="s">
        <v>10</v>
      </c>
      <c r="C55" s="5">
        <v>46237</v>
      </c>
      <c r="D55" s="4" t="s">
        <v>103</v>
      </c>
      <c r="E55" s="4" t="s">
        <v>104</v>
      </c>
      <c r="F55" s="6">
        <v>0</v>
      </c>
      <c r="G55" s="6">
        <v>181.93</v>
      </c>
      <c r="H55" s="6">
        <v>31661.74</v>
      </c>
    </row>
    <row r="56" spans="1:8">
      <c r="A56" s="4" t="s">
        <v>83</v>
      </c>
      <c r="B56" s="4" t="s">
        <v>10</v>
      </c>
      <c r="C56" s="5">
        <v>46237</v>
      </c>
      <c r="D56" s="4" t="s">
        <v>105</v>
      </c>
      <c r="E56" s="4" t="s">
        <v>106</v>
      </c>
      <c r="F56" s="6">
        <v>454.71</v>
      </c>
      <c r="G56" s="6">
        <v>0</v>
      </c>
      <c r="H56" s="6">
        <v>31207.03</v>
      </c>
    </row>
    <row r="57" spans="1:8">
      <c r="A57" s="4" t="s">
        <v>83</v>
      </c>
      <c r="B57" s="4" t="s">
        <v>10</v>
      </c>
      <c r="C57" s="5">
        <v>46237</v>
      </c>
      <c r="D57" s="4" t="s">
        <v>107</v>
      </c>
      <c r="E57" s="4" t="s">
        <v>108</v>
      </c>
      <c r="F57" s="6">
        <v>0</v>
      </c>
      <c r="G57" s="6">
        <v>327</v>
      </c>
      <c r="H57" s="6">
        <v>31534.03</v>
      </c>
    </row>
    <row r="58" spans="1:8">
      <c r="A58" s="4" t="s">
        <v>83</v>
      </c>
      <c r="B58" s="4" t="s">
        <v>10</v>
      </c>
      <c r="C58" s="5">
        <v>46238</v>
      </c>
      <c r="D58" s="4" t="s">
        <v>109</v>
      </c>
      <c r="E58" s="4" t="s">
        <v>106</v>
      </c>
      <c r="F58" s="6">
        <v>3337.2</v>
      </c>
      <c r="G58" s="6">
        <v>0</v>
      </c>
      <c r="H58" s="6">
        <v>28196.83</v>
      </c>
    </row>
    <row r="59" spans="1:8">
      <c r="A59" s="4" t="s">
        <v>83</v>
      </c>
      <c r="B59" s="4" t="s">
        <v>10</v>
      </c>
      <c r="C59" s="5">
        <v>46238</v>
      </c>
      <c r="D59" s="4" t="s">
        <v>110</v>
      </c>
      <c r="E59" s="4" t="s">
        <v>106</v>
      </c>
      <c r="F59" s="6">
        <v>3337.2</v>
      </c>
      <c r="G59" s="6">
        <v>0</v>
      </c>
      <c r="H59" s="6">
        <v>24859.63</v>
      </c>
    </row>
    <row r="60" spans="1:8">
      <c r="A60" s="4" t="s">
        <v>83</v>
      </c>
      <c r="B60" s="4" t="s">
        <v>10</v>
      </c>
      <c r="C60" s="5">
        <v>46238</v>
      </c>
      <c r="D60" s="4" t="s">
        <v>111</v>
      </c>
      <c r="E60" s="4" t="s">
        <v>112</v>
      </c>
      <c r="F60" s="6">
        <v>0</v>
      </c>
      <c r="G60" s="6">
        <v>160</v>
      </c>
      <c r="H60" s="6">
        <v>25019.63</v>
      </c>
    </row>
    <row r="61" spans="1:8">
      <c r="A61" s="4" t="s">
        <v>83</v>
      </c>
      <c r="B61" s="4" t="s">
        <v>10</v>
      </c>
      <c r="C61" s="5">
        <v>46239</v>
      </c>
      <c r="D61" s="4" t="s">
        <v>113</v>
      </c>
      <c r="E61" s="4" t="s">
        <v>100</v>
      </c>
      <c r="F61" s="6">
        <v>0</v>
      </c>
      <c r="G61" s="6">
        <v>100</v>
      </c>
      <c r="H61" s="6">
        <v>25119.63</v>
      </c>
    </row>
    <row r="62" spans="1:8">
      <c r="A62" s="4" t="s">
        <v>83</v>
      </c>
      <c r="B62" s="4" t="s">
        <v>10</v>
      </c>
      <c r="C62" s="5">
        <v>46241</v>
      </c>
      <c r="D62" s="4" t="s">
        <v>114</v>
      </c>
      <c r="E62" s="4" t="s">
        <v>100</v>
      </c>
      <c r="F62" s="6">
        <v>0</v>
      </c>
      <c r="G62" s="6">
        <v>62.14</v>
      </c>
      <c r="H62" s="6">
        <v>25181.77</v>
      </c>
    </row>
    <row r="63" spans="1:8">
      <c r="A63" s="4" t="s">
        <v>83</v>
      </c>
      <c r="B63" s="4" t="s">
        <v>10</v>
      </c>
      <c r="C63" s="5">
        <v>46241</v>
      </c>
      <c r="D63" s="4" t="s">
        <v>115</v>
      </c>
      <c r="E63" s="4" t="s">
        <v>104</v>
      </c>
      <c r="F63" s="6">
        <v>0</v>
      </c>
      <c r="G63" s="6">
        <v>399.84</v>
      </c>
      <c r="H63" s="6">
        <v>25581.61</v>
      </c>
    </row>
    <row r="64" spans="1:8">
      <c r="A64" s="4" t="s">
        <v>83</v>
      </c>
      <c r="B64" s="4" t="s">
        <v>10</v>
      </c>
      <c r="C64" s="5">
        <v>46244</v>
      </c>
      <c r="D64" s="4" t="s">
        <v>116</v>
      </c>
      <c r="E64" s="4" t="s">
        <v>104</v>
      </c>
      <c r="F64" s="6">
        <v>0</v>
      </c>
      <c r="G64" s="6">
        <v>115.26</v>
      </c>
      <c r="H64" s="6">
        <v>25696.87</v>
      </c>
    </row>
    <row r="65" spans="1:8">
      <c r="A65" s="4" t="s">
        <v>83</v>
      </c>
      <c r="B65" s="4" t="s">
        <v>10</v>
      </c>
      <c r="C65" s="5">
        <v>46244</v>
      </c>
      <c r="D65" s="4" t="s">
        <v>117</v>
      </c>
      <c r="E65" s="4" t="s">
        <v>104</v>
      </c>
      <c r="F65" s="6">
        <v>0</v>
      </c>
      <c r="G65" s="6">
        <v>152</v>
      </c>
      <c r="H65" s="6">
        <v>25848.87</v>
      </c>
    </row>
    <row r="66" spans="1:8">
      <c r="A66" s="4" t="s">
        <v>83</v>
      </c>
      <c r="B66" s="4" t="s">
        <v>10</v>
      </c>
      <c r="C66" s="5">
        <v>46245</v>
      </c>
      <c r="D66" s="4" t="s">
        <v>118</v>
      </c>
      <c r="E66" s="4" t="s">
        <v>104</v>
      </c>
      <c r="F66" s="6">
        <v>0</v>
      </c>
      <c r="G66" s="6">
        <v>604.79999999999995</v>
      </c>
      <c r="H66" s="6">
        <v>26453.67</v>
      </c>
    </row>
    <row r="67" spans="1:8">
      <c r="A67" s="4" t="s">
        <v>83</v>
      </c>
      <c r="B67" s="4" t="s">
        <v>10</v>
      </c>
      <c r="C67" s="5">
        <v>46246</v>
      </c>
      <c r="D67" s="4" t="s">
        <v>119</v>
      </c>
      <c r="E67" s="4" t="s">
        <v>89</v>
      </c>
      <c r="F67" s="6">
        <v>0</v>
      </c>
      <c r="G67" s="6">
        <v>729.98</v>
      </c>
      <c r="H67" s="6">
        <v>27183.65</v>
      </c>
    </row>
    <row r="68" spans="1:8">
      <c r="A68" s="4" t="s">
        <v>83</v>
      </c>
      <c r="B68" s="4" t="s">
        <v>10</v>
      </c>
      <c r="C68" s="5">
        <v>46247</v>
      </c>
      <c r="D68" s="4" t="s">
        <v>120</v>
      </c>
      <c r="E68" s="4" t="s">
        <v>106</v>
      </c>
      <c r="F68" s="6">
        <v>457.77</v>
      </c>
      <c r="G68" s="6">
        <v>0</v>
      </c>
      <c r="H68" s="6">
        <v>26725.88</v>
      </c>
    </row>
    <row r="69" spans="1:8">
      <c r="A69" s="4" t="s">
        <v>83</v>
      </c>
      <c r="B69" s="4" t="s">
        <v>10</v>
      </c>
      <c r="C69" s="5">
        <v>46248</v>
      </c>
      <c r="D69" s="4" t="s">
        <v>121</v>
      </c>
      <c r="E69" s="4" t="s">
        <v>104</v>
      </c>
      <c r="F69" s="6">
        <v>0</v>
      </c>
      <c r="G69" s="6">
        <v>25.99</v>
      </c>
      <c r="H69" s="6">
        <v>26751.87</v>
      </c>
    </row>
    <row r="70" spans="1:8">
      <c r="A70" s="4" t="s">
        <v>83</v>
      </c>
      <c r="B70" s="4" t="s">
        <v>10</v>
      </c>
      <c r="C70" s="5">
        <v>46249</v>
      </c>
      <c r="D70" s="4" t="s">
        <v>122</v>
      </c>
      <c r="E70" s="4" t="s">
        <v>104</v>
      </c>
      <c r="F70" s="6">
        <v>0</v>
      </c>
      <c r="G70" s="6">
        <v>498.33</v>
      </c>
      <c r="H70" s="6">
        <v>27250.2</v>
      </c>
    </row>
    <row r="71" spans="1:8">
      <c r="A71" s="4" t="s">
        <v>83</v>
      </c>
      <c r="B71" s="4" t="s">
        <v>10</v>
      </c>
      <c r="C71" s="5">
        <v>46249</v>
      </c>
      <c r="D71" s="4" t="s">
        <v>123</v>
      </c>
      <c r="E71" s="4" t="s">
        <v>112</v>
      </c>
      <c r="F71" s="6">
        <v>0</v>
      </c>
      <c r="G71" s="6">
        <v>33.9</v>
      </c>
      <c r="H71" s="6">
        <v>27284.1</v>
      </c>
    </row>
    <row r="72" spans="1:8">
      <c r="A72" s="4" t="s">
        <v>83</v>
      </c>
      <c r="B72" s="4" t="s">
        <v>10</v>
      </c>
      <c r="C72" s="5">
        <v>46251</v>
      </c>
      <c r="D72" s="4" t="s">
        <v>124</v>
      </c>
      <c r="E72" s="4" t="s">
        <v>89</v>
      </c>
      <c r="F72" s="6">
        <v>0</v>
      </c>
      <c r="G72" s="6">
        <v>67.8</v>
      </c>
      <c r="H72" s="6">
        <v>27351.9</v>
      </c>
    </row>
    <row r="73" spans="1:8">
      <c r="A73" s="4" t="s">
        <v>83</v>
      </c>
      <c r="B73" s="4" t="s">
        <v>10</v>
      </c>
      <c r="C73" s="5">
        <v>46251</v>
      </c>
      <c r="D73" s="4" t="s">
        <v>125</v>
      </c>
      <c r="E73" s="4" t="s">
        <v>85</v>
      </c>
      <c r="F73" s="6">
        <v>153.68</v>
      </c>
      <c r="G73" s="6">
        <v>0</v>
      </c>
      <c r="H73" s="6">
        <v>27198.22</v>
      </c>
    </row>
    <row r="74" spans="1:8">
      <c r="A74" s="4" t="s">
        <v>83</v>
      </c>
      <c r="B74" s="4" t="s">
        <v>10</v>
      </c>
      <c r="C74" s="5">
        <v>46251</v>
      </c>
      <c r="D74" s="4" t="s">
        <v>126</v>
      </c>
      <c r="E74" s="4" t="s">
        <v>100</v>
      </c>
      <c r="F74" s="6">
        <v>0</v>
      </c>
      <c r="G74" s="6">
        <v>499.46</v>
      </c>
      <c r="H74" s="6">
        <v>27697.68</v>
      </c>
    </row>
    <row r="75" spans="1:8">
      <c r="A75" s="4" t="s">
        <v>83</v>
      </c>
      <c r="B75" s="4" t="s">
        <v>10</v>
      </c>
      <c r="C75" s="5">
        <v>46251</v>
      </c>
      <c r="D75" s="4" t="s">
        <v>127</v>
      </c>
      <c r="E75" s="4" t="s">
        <v>89</v>
      </c>
      <c r="F75" s="6">
        <v>0</v>
      </c>
      <c r="G75" s="6">
        <v>226</v>
      </c>
      <c r="H75" s="6">
        <v>27923.68</v>
      </c>
    </row>
    <row r="76" spans="1:8">
      <c r="A76" s="4" t="s">
        <v>83</v>
      </c>
      <c r="B76" s="4" t="s">
        <v>10</v>
      </c>
      <c r="C76" s="5">
        <v>46252</v>
      </c>
      <c r="D76" s="4" t="s">
        <v>128</v>
      </c>
      <c r="E76" s="4" t="s">
        <v>112</v>
      </c>
      <c r="F76" s="6">
        <v>0</v>
      </c>
      <c r="G76" s="6">
        <v>339</v>
      </c>
      <c r="H76" s="6">
        <v>28262.68</v>
      </c>
    </row>
    <row r="77" spans="1:8">
      <c r="A77" s="4" t="s">
        <v>83</v>
      </c>
      <c r="B77" s="4" t="s">
        <v>10</v>
      </c>
      <c r="C77" s="5">
        <v>46253</v>
      </c>
      <c r="D77" s="4" t="s">
        <v>129</v>
      </c>
      <c r="E77" s="4" t="s">
        <v>100</v>
      </c>
      <c r="F77" s="6">
        <v>0</v>
      </c>
      <c r="G77" s="6">
        <v>56.5</v>
      </c>
      <c r="H77" s="6">
        <v>28319.18</v>
      </c>
    </row>
    <row r="78" spans="1:8">
      <c r="A78" s="4" t="s">
        <v>130</v>
      </c>
      <c r="B78" s="4" t="s">
        <v>12</v>
      </c>
      <c r="C78" s="5">
        <v>46235</v>
      </c>
      <c r="D78" s="4" t="s">
        <v>131</v>
      </c>
      <c r="E78" s="4" t="s">
        <v>132</v>
      </c>
      <c r="F78" s="6">
        <v>0</v>
      </c>
      <c r="G78" s="6">
        <v>381.9</v>
      </c>
      <c r="H78" s="6">
        <v>9086.82</v>
      </c>
    </row>
    <row r="79" spans="1:8">
      <c r="A79" s="4" t="s">
        <v>130</v>
      </c>
      <c r="B79" s="4" t="s">
        <v>12</v>
      </c>
      <c r="C79" s="5">
        <v>46235</v>
      </c>
      <c r="D79" s="4" t="s">
        <v>133</v>
      </c>
      <c r="E79" s="4" t="s">
        <v>134</v>
      </c>
      <c r="F79" s="6">
        <v>0</v>
      </c>
      <c r="G79" s="6">
        <v>633.92999999999995</v>
      </c>
      <c r="H79" s="6">
        <v>9720.75</v>
      </c>
    </row>
    <row r="80" spans="1:8">
      <c r="A80" s="4" t="s">
        <v>130</v>
      </c>
      <c r="B80" s="4" t="s">
        <v>12</v>
      </c>
      <c r="C80" s="5">
        <v>46238</v>
      </c>
      <c r="D80" s="4" t="s">
        <v>135</v>
      </c>
      <c r="E80" s="4" t="s">
        <v>136</v>
      </c>
      <c r="F80" s="6">
        <v>0</v>
      </c>
      <c r="G80" s="6">
        <v>827.16</v>
      </c>
      <c r="H80" s="6">
        <v>10547.91</v>
      </c>
    </row>
    <row r="81" spans="1:8">
      <c r="A81" s="4" t="s">
        <v>130</v>
      </c>
      <c r="B81" s="4" t="s">
        <v>12</v>
      </c>
      <c r="C81" s="5">
        <v>46239</v>
      </c>
      <c r="D81" s="4" t="s">
        <v>137</v>
      </c>
      <c r="E81" s="4" t="s">
        <v>138</v>
      </c>
      <c r="F81" s="6">
        <v>0</v>
      </c>
      <c r="G81" s="6">
        <v>45.2</v>
      </c>
      <c r="H81" s="6">
        <v>10593.11</v>
      </c>
    </row>
    <row r="82" spans="1:8">
      <c r="A82" s="4" t="s">
        <v>130</v>
      </c>
      <c r="B82" s="4" t="s">
        <v>12</v>
      </c>
      <c r="C82" s="5">
        <v>46241</v>
      </c>
      <c r="D82" s="4" t="s">
        <v>139</v>
      </c>
      <c r="E82" s="4" t="s">
        <v>140</v>
      </c>
      <c r="F82" s="6">
        <v>0</v>
      </c>
      <c r="G82" s="6">
        <v>253.52</v>
      </c>
      <c r="H82" s="6">
        <v>10846.63</v>
      </c>
    </row>
    <row r="83" spans="1:8">
      <c r="A83" s="4" t="s">
        <v>130</v>
      </c>
      <c r="B83" s="4" t="s">
        <v>12</v>
      </c>
      <c r="C83" s="5">
        <v>46241</v>
      </c>
      <c r="D83" s="4" t="s">
        <v>141</v>
      </c>
      <c r="E83" s="4" t="s">
        <v>142</v>
      </c>
      <c r="F83" s="6">
        <v>0</v>
      </c>
      <c r="G83" s="6">
        <v>768.4</v>
      </c>
      <c r="H83" s="6">
        <v>11615.03</v>
      </c>
    </row>
    <row r="84" spans="1:8">
      <c r="A84" s="4" t="s">
        <v>130</v>
      </c>
      <c r="B84" s="4" t="s">
        <v>12</v>
      </c>
      <c r="C84" s="5">
        <v>46242</v>
      </c>
      <c r="D84" s="4" t="s">
        <v>143</v>
      </c>
      <c r="E84" s="4" t="s">
        <v>144</v>
      </c>
      <c r="F84" s="6">
        <v>0</v>
      </c>
      <c r="G84" s="6">
        <v>814.73</v>
      </c>
      <c r="H84" s="6">
        <v>12429.76</v>
      </c>
    </row>
    <row r="85" spans="1:8">
      <c r="A85" s="4" t="s">
        <v>130</v>
      </c>
      <c r="B85" s="4" t="s">
        <v>12</v>
      </c>
      <c r="C85" s="5">
        <v>46245</v>
      </c>
      <c r="D85" s="4" t="s">
        <v>145</v>
      </c>
      <c r="E85" s="4" t="s">
        <v>146</v>
      </c>
      <c r="F85" s="6">
        <v>10622.25</v>
      </c>
      <c r="G85" s="6">
        <v>0</v>
      </c>
      <c r="H85" s="6">
        <v>1807.51</v>
      </c>
    </row>
    <row r="86" spans="1:8">
      <c r="A86" s="4" t="s">
        <v>130</v>
      </c>
      <c r="B86" s="4" t="s">
        <v>12</v>
      </c>
      <c r="C86" s="5">
        <v>46246</v>
      </c>
      <c r="D86" s="4" t="s">
        <v>147</v>
      </c>
      <c r="E86" s="4" t="s">
        <v>148</v>
      </c>
      <c r="F86" s="6">
        <v>0</v>
      </c>
      <c r="G86" s="6">
        <v>550.19000000000005</v>
      </c>
      <c r="H86" s="6">
        <v>2357.6999999999998</v>
      </c>
    </row>
    <row r="87" spans="1:8">
      <c r="A87" s="4" t="s">
        <v>130</v>
      </c>
      <c r="B87" s="4" t="s">
        <v>12</v>
      </c>
      <c r="C87" s="5">
        <v>46246</v>
      </c>
      <c r="D87" s="4" t="s">
        <v>149</v>
      </c>
      <c r="E87" s="4" t="s">
        <v>150</v>
      </c>
      <c r="F87" s="6">
        <v>0</v>
      </c>
      <c r="G87" s="6">
        <v>90.4</v>
      </c>
      <c r="H87" s="6">
        <v>2448.1</v>
      </c>
    </row>
    <row r="88" spans="1:8">
      <c r="A88" s="4" t="s">
        <v>130</v>
      </c>
      <c r="B88" s="4" t="s">
        <v>12</v>
      </c>
      <c r="C88" s="5">
        <v>46246</v>
      </c>
      <c r="D88" s="4" t="s">
        <v>151</v>
      </c>
      <c r="E88" s="4" t="s">
        <v>152</v>
      </c>
      <c r="F88" s="6">
        <v>391.97</v>
      </c>
      <c r="G88" s="6">
        <v>0</v>
      </c>
      <c r="H88" s="6">
        <v>2056.13</v>
      </c>
    </row>
    <row r="89" spans="1:8">
      <c r="A89" s="4" t="s">
        <v>130</v>
      </c>
      <c r="B89" s="4" t="s">
        <v>12</v>
      </c>
      <c r="C89" s="5">
        <v>46247</v>
      </c>
      <c r="D89" s="4" t="s">
        <v>153</v>
      </c>
      <c r="E89" s="4" t="s">
        <v>154</v>
      </c>
      <c r="F89" s="6">
        <v>0</v>
      </c>
      <c r="G89" s="6">
        <v>127.3</v>
      </c>
      <c r="H89" s="6">
        <v>2183.4299999999998</v>
      </c>
    </row>
    <row r="90" spans="1:8">
      <c r="A90" s="4" t="s">
        <v>130</v>
      </c>
      <c r="B90" s="4" t="s">
        <v>12</v>
      </c>
      <c r="C90" s="5">
        <v>46247</v>
      </c>
      <c r="D90" s="4" t="s">
        <v>155</v>
      </c>
      <c r="E90" s="4" t="s">
        <v>156</v>
      </c>
      <c r="F90" s="6">
        <v>0</v>
      </c>
      <c r="G90" s="6">
        <v>42</v>
      </c>
      <c r="H90" s="6">
        <v>2225.4299999999998</v>
      </c>
    </row>
    <row r="91" spans="1:8">
      <c r="A91" s="4" t="s">
        <v>130</v>
      </c>
      <c r="B91" s="4" t="s">
        <v>12</v>
      </c>
      <c r="C91" s="5">
        <v>46248</v>
      </c>
      <c r="D91" s="4" t="s">
        <v>157</v>
      </c>
      <c r="E91" s="4" t="s">
        <v>158</v>
      </c>
      <c r="F91" s="6">
        <v>0</v>
      </c>
      <c r="G91" s="6">
        <v>566.38</v>
      </c>
      <c r="H91" s="6">
        <v>2791.81</v>
      </c>
    </row>
    <row r="92" spans="1:8">
      <c r="A92" s="4" t="s">
        <v>130</v>
      </c>
      <c r="B92" s="4" t="s">
        <v>12</v>
      </c>
      <c r="C92" s="5">
        <v>46248</v>
      </c>
      <c r="D92" s="4" t="s">
        <v>159</v>
      </c>
      <c r="E92" s="4" t="s">
        <v>160</v>
      </c>
      <c r="F92" s="6">
        <v>0</v>
      </c>
      <c r="G92" s="6">
        <v>316.39999999999998</v>
      </c>
      <c r="H92" s="6">
        <v>3108.21</v>
      </c>
    </row>
    <row r="93" spans="1:8">
      <c r="A93" s="4" t="s">
        <v>130</v>
      </c>
      <c r="B93" s="4" t="s">
        <v>12</v>
      </c>
      <c r="C93" s="5">
        <v>46248</v>
      </c>
      <c r="D93" s="4" t="s">
        <v>161</v>
      </c>
      <c r="E93" s="4" t="s">
        <v>162</v>
      </c>
      <c r="F93" s="6">
        <v>565</v>
      </c>
      <c r="G93" s="6">
        <v>0</v>
      </c>
      <c r="H93" s="6">
        <v>2543.21</v>
      </c>
    </row>
    <row r="94" spans="1:8">
      <c r="A94" s="4" t="s">
        <v>130</v>
      </c>
      <c r="B94" s="4" t="s">
        <v>12</v>
      </c>
      <c r="C94" s="5">
        <v>46248</v>
      </c>
      <c r="D94" s="4" t="s">
        <v>163</v>
      </c>
      <c r="E94" s="4" t="s">
        <v>164</v>
      </c>
      <c r="F94" s="6">
        <v>0</v>
      </c>
      <c r="G94" s="6">
        <v>1010.68</v>
      </c>
      <c r="H94" s="6">
        <v>3553.89</v>
      </c>
    </row>
    <row r="95" spans="1:8">
      <c r="A95" s="4" t="s">
        <v>130</v>
      </c>
      <c r="B95" s="4" t="s">
        <v>12</v>
      </c>
      <c r="C95" s="5">
        <v>46249</v>
      </c>
      <c r="D95" s="4" t="s">
        <v>165</v>
      </c>
      <c r="E95" s="4" t="s">
        <v>166</v>
      </c>
      <c r="F95" s="6">
        <v>0</v>
      </c>
      <c r="G95" s="6">
        <v>40.99</v>
      </c>
      <c r="H95" s="6">
        <v>3594.88</v>
      </c>
    </row>
    <row r="96" spans="1:8">
      <c r="A96" s="4" t="s">
        <v>130</v>
      </c>
      <c r="B96" s="4" t="s">
        <v>12</v>
      </c>
      <c r="C96" s="5">
        <v>46250</v>
      </c>
      <c r="D96" s="4" t="s">
        <v>167</v>
      </c>
      <c r="E96" s="4" t="s">
        <v>168</v>
      </c>
      <c r="F96" s="6">
        <v>0</v>
      </c>
      <c r="G96" s="6">
        <v>237.34</v>
      </c>
      <c r="H96" s="6">
        <v>3832.22</v>
      </c>
    </row>
    <row r="97" spans="1:8">
      <c r="A97" s="4" t="s">
        <v>130</v>
      </c>
      <c r="B97" s="4" t="s">
        <v>12</v>
      </c>
      <c r="C97" s="5">
        <v>46252</v>
      </c>
      <c r="D97" s="4" t="s">
        <v>169</v>
      </c>
      <c r="E97" s="4" t="s">
        <v>170</v>
      </c>
      <c r="F97" s="6">
        <v>228.76</v>
      </c>
      <c r="G97" s="6">
        <v>0</v>
      </c>
      <c r="H97" s="6">
        <v>3603.46</v>
      </c>
    </row>
    <row r="98" spans="1:8">
      <c r="A98" s="4" t="s">
        <v>130</v>
      </c>
      <c r="B98" s="4" t="s">
        <v>12</v>
      </c>
      <c r="C98" s="5">
        <v>46252</v>
      </c>
      <c r="D98" s="4" t="s">
        <v>171</v>
      </c>
      <c r="E98" s="4" t="s">
        <v>172</v>
      </c>
      <c r="F98" s="6">
        <v>0</v>
      </c>
      <c r="G98" s="6">
        <v>307.38</v>
      </c>
      <c r="H98" s="6">
        <v>4139.6000000000004</v>
      </c>
    </row>
    <row r="99" spans="1:8">
      <c r="A99" s="4" t="s">
        <v>130</v>
      </c>
      <c r="B99" s="4" t="s">
        <v>12</v>
      </c>
      <c r="C99" s="5">
        <v>46253</v>
      </c>
      <c r="D99" s="4" t="s">
        <v>173</v>
      </c>
      <c r="E99" s="4" t="s">
        <v>174</v>
      </c>
      <c r="F99" s="6">
        <v>0</v>
      </c>
      <c r="G99" s="6">
        <v>1390.16</v>
      </c>
      <c r="H99" s="6">
        <v>5301</v>
      </c>
    </row>
    <row r="100" spans="1:8">
      <c r="A100" s="4" t="s">
        <v>130</v>
      </c>
      <c r="B100" s="4" t="s">
        <v>12</v>
      </c>
      <c r="C100" s="5">
        <v>46253</v>
      </c>
      <c r="D100" s="4" t="s">
        <v>175</v>
      </c>
      <c r="E100" s="4" t="s">
        <v>176</v>
      </c>
      <c r="F100" s="6">
        <v>0</v>
      </c>
      <c r="G100" s="6">
        <v>702.86</v>
      </c>
      <c r="H100" s="6">
        <v>6003.86</v>
      </c>
    </row>
    <row r="101" spans="1:8">
      <c r="A101" s="4" t="s">
        <v>130</v>
      </c>
      <c r="B101" s="4" t="s">
        <v>13</v>
      </c>
      <c r="C101" s="5">
        <v>46235</v>
      </c>
      <c r="D101" s="4" t="s">
        <v>177</v>
      </c>
      <c r="E101" s="4" t="s">
        <v>178</v>
      </c>
      <c r="F101" s="6">
        <v>0</v>
      </c>
      <c r="G101" s="6">
        <v>8400</v>
      </c>
      <c r="H101" s="6">
        <v>80183.38</v>
      </c>
    </row>
    <row r="102" spans="1:8">
      <c r="A102" s="4" t="s">
        <v>130</v>
      </c>
      <c r="B102" s="4" t="s">
        <v>13</v>
      </c>
      <c r="C102" s="5">
        <v>46237</v>
      </c>
      <c r="D102" s="4" t="s">
        <v>179</v>
      </c>
      <c r="E102" s="4" t="s">
        <v>180</v>
      </c>
      <c r="F102" s="6">
        <v>0</v>
      </c>
      <c r="G102" s="6">
        <v>940.8</v>
      </c>
      <c r="H102" s="6">
        <v>81124.179999999993</v>
      </c>
    </row>
    <row r="103" spans="1:8">
      <c r="A103" s="4" t="s">
        <v>130</v>
      </c>
      <c r="B103" s="4" t="s">
        <v>13</v>
      </c>
      <c r="C103" s="5">
        <v>46238</v>
      </c>
      <c r="D103" s="4" t="s">
        <v>181</v>
      </c>
      <c r="E103" s="4" t="s">
        <v>182</v>
      </c>
      <c r="F103" s="6">
        <v>0</v>
      </c>
      <c r="G103" s="6">
        <v>211.31</v>
      </c>
      <c r="H103" s="6">
        <v>81335.490000000005</v>
      </c>
    </row>
    <row r="104" spans="1:8">
      <c r="A104" s="4" t="s">
        <v>130</v>
      </c>
      <c r="B104" s="4" t="s">
        <v>13</v>
      </c>
      <c r="C104" s="5">
        <v>46239</v>
      </c>
      <c r="D104" s="4" t="s">
        <v>183</v>
      </c>
      <c r="E104" s="4" t="s">
        <v>184</v>
      </c>
      <c r="F104" s="6">
        <v>0</v>
      </c>
      <c r="G104" s="6">
        <v>153.68</v>
      </c>
      <c r="H104" s="6">
        <v>81489.17</v>
      </c>
    </row>
    <row r="105" spans="1:8">
      <c r="A105" s="4" t="s">
        <v>130</v>
      </c>
      <c r="B105" s="4" t="s">
        <v>13</v>
      </c>
      <c r="C105" s="5">
        <v>46239</v>
      </c>
      <c r="D105" s="4" t="s">
        <v>185</v>
      </c>
      <c r="E105" s="4" t="s">
        <v>186</v>
      </c>
      <c r="F105" s="6">
        <v>0</v>
      </c>
      <c r="G105" s="6">
        <v>671.22</v>
      </c>
      <c r="H105" s="6">
        <v>82160.39</v>
      </c>
    </row>
    <row r="106" spans="1:8">
      <c r="A106" s="4" t="s">
        <v>130</v>
      </c>
      <c r="B106" s="4" t="s">
        <v>13</v>
      </c>
      <c r="C106" s="5">
        <v>46244</v>
      </c>
      <c r="D106" s="4" t="s">
        <v>187</v>
      </c>
      <c r="E106" s="4" t="s">
        <v>188</v>
      </c>
      <c r="F106" s="6">
        <v>0</v>
      </c>
      <c r="G106" s="6">
        <v>203.4</v>
      </c>
      <c r="H106" s="6">
        <v>82363.789999999994</v>
      </c>
    </row>
    <row r="107" spans="1:8">
      <c r="A107" s="4" t="s">
        <v>130</v>
      </c>
      <c r="B107" s="4" t="s">
        <v>13</v>
      </c>
      <c r="C107" s="5">
        <v>46244</v>
      </c>
      <c r="D107" s="4" t="s">
        <v>189</v>
      </c>
      <c r="E107" s="4" t="s">
        <v>190</v>
      </c>
      <c r="F107" s="6">
        <v>0</v>
      </c>
      <c r="G107" s="6">
        <v>320.92</v>
      </c>
      <c r="H107" s="6">
        <v>82684.710000000006</v>
      </c>
    </row>
    <row r="108" spans="1:8">
      <c r="A108" s="4" t="s">
        <v>130</v>
      </c>
      <c r="B108" s="4" t="s">
        <v>13</v>
      </c>
      <c r="C108" s="5">
        <v>46244</v>
      </c>
      <c r="D108" s="4" t="s">
        <v>191</v>
      </c>
      <c r="E108" s="4" t="s">
        <v>190</v>
      </c>
      <c r="F108" s="6">
        <v>0</v>
      </c>
      <c r="G108" s="6">
        <v>271.2</v>
      </c>
      <c r="H108" s="6">
        <v>82955.91</v>
      </c>
    </row>
    <row r="109" spans="1:8">
      <c r="A109" s="4" t="s">
        <v>130</v>
      </c>
      <c r="B109" s="4" t="s">
        <v>13</v>
      </c>
      <c r="C109" s="5">
        <v>46244</v>
      </c>
      <c r="D109" s="4" t="s">
        <v>192</v>
      </c>
      <c r="E109" s="4" t="s">
        <v>193</v>
      </c>
      <c r="F109" s="6">
        <v>0</v>
      </c>
      <c r="G109" s="6">
        <v>116.39</v>
      </c>
      <c r="H109" s="6">
        <v>83072.3</v>
      </c>
    </row>
    <row r="110" spans="1:8">
      <c r="A110" s="4" t="s">
        <v>130</v>
      </c>
      <c r="B110" s="4" t="s">
        <v>13</v>
      </c>
      <c r="C110" s="5">
        <v>46245</v>
      </c>
      <c r="D110" s="4" t="s">
        <v>194</v>
      </c>
      <c r="E110" s="4" t="s">
        <v>195</v>
      </c>
      <c r="F110" s="6">
        <v>0</v>
      </c>
      <c r="G110" s="6">
        <v>203.4</v>
      </c>
      <c r="H110" s="6">
        <v>83275.7</v>
      </c>
    </row>
    <row r="111" spans="1:8">
      <c r="A111" s="4" t="s">
        <v>130</v>
      </c>
      <c r="B111" s="4" t="s">
        <v>13</v>
      </c>
      <c r="C111" s="5">
        <v>46245</v>
      </c>
      <c r="D111" s="4" t="s">
        <v>196</v>
      </c>
      <c r="E111" s="4" t="s">
        <v>197</v>
      </c>
      <c r="F111" s="6">
        <v>0</v>
      </c>
      <c r="G111" s="6">
        <v>21.85</v>
      </c>
      <c r="H111" s="6">
        <v>83297.55</v>
      </c>
    </row>
    <row r="112" spans="1:8">
      <c r="A112" s="4" t="s">
        <v>130</v>
      </c>
      <c r="B112" s="4" t="s">
        <v>13</v>
      </c>
      <c r="C112" s="5">
        <v>46246</v>
      </c>
      <c r="D112" s="4" t="s">
        <v>198</v>
      </c>
      <c r="E112" s="4" t="s">
        <v>199</v>
      </c>
      <c r="F112" s="6">
        <v>0</v>
      </c>
      <c r="G112" s="6">
        <v>153.68</v>
      </c>
      <c r="H112" s="6">
        <v>83451.23</v>
      </c>
    </row>
    <row r="113" spans="1:8">
      <c r="A113" s="4" t="s">
        <v>130</v>
      </c>
      <c r="B113" s="4" t="s">
        <v>13</v>
      </c>
      <c r="C113" s="5">
        <v>46246</v>
      </c>
      <c r="D113" s="4" t="s">
        <v>200</v>
      </c>
      <c r="E113" s="4" t="s">
        <v>201</v>
      </c>
      <c r="F113" s="6">
        <v>0</v>
      </c>
      <c r="G113" s="6">
        <v>127.61</v>
      </c>
      <c r="H113" s="6">
        <v>83578.84</v>
      </c>
    </row>
    <row r="114" spans="1:8">
      <c r="A114" s="4" t="s">
        <v>130</v>
      </c>
      <c r="B114" s="4" t="s">
        <v>13</v>
      </c>
      <c r="C114" s="5">
        <v>46247</v>
      </c>
      <c r="D114" s="4" t="s">
        <v>202</v>
      </c>
      <c r="E114" s="4" t="s">
        <v>203</v>
      </c>
      <c r="F114" s="6">
        <v>0</v>
      </c>
      <c r="G114" s="6">
        <v>271.74</v>
      </c>
      <c r="H114" s="6">
        <v>83850.58</v>
      </c>
    </row>
    <row r="115" spans="1:8">
      <c r="A115" s="4" t="s">
        <v>130</v>
      </c>
      <c r="B115" s="4" t="s">
        <v>13</v>
      </c>
      <c r="C115" s="5">
        <v>46247</v>
      </c>
      <c r="D115" s="4" t="s">
        <v>204</v>
      </c>
      <c r="E115" s="4" t="s">
        <v>205</v>
      </c>
      <c r="F115" s="6">
        <v>0</v>
      </c>
      <c r="G115" s="6">
        <v>128.80000000000001</v>
      </c>
      <c r="H115" s="6">
        <v>83979.38</v>
      </c>
    </row>
    <row r="116" spans="1:8">
      <c r="A116" s="4" t="s">
        <v>130</v>
      </c>
      <c r="B116" s="4" t="s">
        <v>13</v>
      </c>
      <c r="C116" s="5">
        <v>46247</v>
      </c>
      <c r="D116" s="4" t="s">
        <v>206</v>
      </c>
      <c r="E116" s="4" t="s">
        <v>207</v>
      </c>
      <c r="F116" s="6">
        <v>0</v>
      </c>
      <c r="G116" s="6">
        <v>163.54</v>
      </c>
      <c r="H116" s="6">
        <v>84142.92</v>
      </c>
    </row>
    <row r="117" spans="1:8">
      <c r="A117" s="4" t="s">
        <v>130</v>
      </c>
      <c r="B117" s="4" t="s">
        <v>13</v>
      </c>
      <c r="C117" s="5">
        <v>46248</v>
      </c>
      <c r="D117" s="4" t="s">
        <v>208</v>
      </c>
      <c r="E117" s="4" t="s">
        <v>209</v>
      </c>
      <c r="F117" s="6">
        <v>2470.77</v>
      </c>
      <c r="G117" s="6">
        <v>0</v>
      </c>
      <c r="H117" s="6">
        <v>81672.149999999994</v>
      </c>
    </row>
    <row r="118" spans="1:8">
      <c r="A118" s="4" t="s">
        <v>130</v>
      </c>
      <c r="B118" s="4" t="s">
        <v>13</v>
      </c>
      <c r="C118" s="5">
        <v>46248</v>
      </c>
      <c r="D118" s="4" t="s">
        <v>210</v>
      </c>
      <c r="E118" s="4" t="s">
        <v>211</v>
      </c>
      <c r="F118" s="6">
        <v>651.86</v>
      </c>
      <c r="G118" s="6">
        <v>0</v>
      </c>
      <c r="H118" s="6">
        <v>81020.289999999994</v>
      </c>
    </row>
    <row r="119" spans="1:8">
      <c r="A119" s="4" t="s">
        <v>130</v>
      </c>
      <c r="B119" s="4" t="s">
        <v>13</v>
      </c>
      <c r="C119" s="5">
        <v>46249</v>
      </c>
      <c r="D119" s="4" t="s">
        <v>212</v>
      </c>
      <c r="E119" s="4" t="s">
        <v>213</v>
      </c>
      <c r="F119" s="6">
        <v>0</v>
      </c>
      <c r="G119" s="6">
        <v>84.75</v>
      </c>
      <c r="H119" s="6">
        <v>81105.039999999994</v>
      </c>
    </row>
    <row r="120" spans="1:8">
      <c r="A120" s="4" t="s">
        <v>130</v>
      </c>
      <c r="B120" s="4" t="s">
        <v>13</v>
      </c>
      <c r="C120" s="5">
        <v>46251</v>
      </c>
      <c r="D120" s="4" t="s">
        <v>214</v>
      </c>
      <c r="E120" s="4" t="s">
        <v>215</v>
      </c>
      <c r="F120" s="6">
        <v>0</v>
      </c>
      <c r="G120" s="6">
        <v>207.92</v>
      </c>
      <c r="H120" s="6">
        <v>81312.960000000006</v>
      </c>
    </row>
    <row r="121" spans="1:8">
      <c r="A121" s="4" t="s">
        <v>130</v>
      </c>
      <c r="B121" s="4" t="s">
        <v>13</v>
      </c>
      <c r="C121" s="5">
        <v>46251</v>
      </c>
      <c r="D121" s="4" t="s">
        <v>216</v>
      </c>
      <c r="E121" s="4" t="s">
        <v>217</v>
      </c>
      <c r="F121" s="6">
        <v>0</v>
      </c>
      <c r="G121" s="6">
        <v>171.76</v>
      </c>
      <c r="H121" s="6">
        <v>81484.72</v>
      </c>
    </row>
    <row r="122" spans="1:8">
      <c r="A122" s="4" t="s">
        <v>130</v>
      </c>
      <c r="B122" s="4" t="s">
        <v>13</v>
      </c>
      <c r="C122" s="5">
        <v>46251</v>
      </c>
      <c r="D122" s="4" t="s">
        <v>218</v>
      </c>
      <c r="E122" s="4" t="s">
        <v>219</v>
      </c>
      <c r="F122" s="6">
        <v>885.39</v>
      </c>
      <c r="G122" s="6">
        <v>0</v>
      </c>
      <c r="H122" s="6">
        <v>80599.33</v>
      </c>
    </row>
    <row r="123" spans="1:8">
      <c r="A123" s="4" t="s">
        <v>130</v>
      </c>
      <c r="B123" s="4" t="s">
        <v>13</v>
      </c>
      <c r="C123" s="5">
        <v>46251</v>
      </c>
      <c r="D123" s="4" t="s">
        <v>220</v>
      </c>
      <c r="E123" s="4" t="s">
        <v>221</v>
      </c>
      <c r="F123" s="6">
        <v>0</v>
      </c>
      <c r="G123" s="6">
        <v>257.57</v>
      </c>
      <c r="H123" s="6">
        <v>80856.899999999994</v>
      </c>
    </row>
    <row r="124" spans="1:8">
      <c r="A124" s="4" t="s">
        <v>130</v>
      </c>
      <c r="B124" s="4" t="s">
        <v>13</v>
      </c>
      <c r="C124" s="5">
        <v>46253</v>
      </c>
      <c r="D124" s="4" t="s">
        <v>222</v>
      </c>
      <c r="E124" s="4" t="s">
        <v>223</v>
      </c>
      <c r="F124" s="6">
        <v>0</v>
      </c>
      <c r="G124" s="6">
        <v>4574.51</v>
      </c>
      <c r="H124" s="6">
        <v>85431.41</v>
      </c>
    </row>
    <row r="125" spans="1:8">
      <c r="A125" s="4" t="s">
        <v>130</v>
      </c>
      <c r="B125" s="4" t="s">
        <v>13</v>
      </c>
      <c r="C125" s="5">
        <v>46253</v>
      </c>
      <c r="D125" s="4" t="s">
        <v>224</v>
      </c>
      <c r="E125" s="4" t="s">
        <v>225</v>
      </c>
      <c r="F125" s="6">
        <v>4135.04</v>
      </c>
      <c r="G125" s="6">
        <v>0</v>
      </c>
      <c r="H125" s="6">
        <v>81296.37</v>
      </c>
    </row>
    <row r="126" spans="1:8">
      <c r="A126" s="4" t="s">
        <v>130</v>
      </c>
      <c r="B126" s="4" t="s">
        <v>13</v>
      </c>
      <c r="C126" s="5">
        <v>46253</v>
      </c>
      <c r="D126" s="4" t="s">
        <v>226</v>
      </c>
      <c r="E126" s="4" t="s">
        <v>152</v>
      </c>
      <c r="F126" s="6">
        <v>62.95</v>
      </c>
      <c r="G126" s="6">
        <v>0</v>
      </c>
      <c r="H126" s="6">
        <v>81233.42</v>
      </c>
    </row>
    <row r="127" spans="1:8">
      <c r="A127" s="4" t="s">
        <v>130</v>
      </c>
      <c r="B127" s="4" t="s">
        <v>13</v>
      </c>
      <c r="C127" s="5">
        <v>46253</v>
      </c>
      <c r="D127" s="4" t="s">
        <v>227</v>
      </c>
      <c r="E127" s="4" t="s">
        <v>228</v>
      </c>
      <c r="F127" s="6">
        <v>0</v>
      </c>
      <c r="G127" s="6">
        <v>615.85</v>
      </c>
      <c r="H127" s="6">
        <v>81849.27</v>
      </c>
    </row>
    <row r="128" spans="1:8">
      <c r="A128" s="4" t="s">
        <v>130</v>
      </c>
      <c r="B128" s="4" t="s">
        <v>13</v>
      </c>
      <c r="C128" s="5">
        <v>46253</v>
      </c>
      <c r="D128" s="4" t="s">
        <v>229</v>
      </c>
      <c r="E128" s="4" t="s">
        <v>230</v>
      </c>
      <c r="F128" s="6">
        <v>0</v>
      </c>
      <c r="G128" s="6">
        <v>61.02</v>
      </c>
      <c r="H128" s="6">
        <v>81910.289999999994</v>
      </c>
    </row>
    <row r="129" spans="1:8">
      <c r="A129" s="4" t="s">
        <v>14</v>
      </c>
      <c r="B129" s="4" t="s">
        <v>15</v>
      </c>
      <c r="C129" s="5">
        <v>46237.006354166668</v>
      </c>
      <c r="D129" s="4">
        <v>554582578</v>
      </c>
      <c r="E129" s="4" t="s">
        <v>231</v>
      </c>
      <c r="F129" s="6">
        <v>0</v>
      </c>
      <c r="G129" s="6">
        <v>560.48</v>
      </c>
      <c r="H129" s="6">
        <v>51799.49</v>
      </c>
    </row>
    <row r="130" spans="1:8">
      <c r="A130" s="4" t="s">
        <v>14</v>
      </c>
      <c r="B130" s="4" t="s">
        <v>15</v>
      </c>
      <c r="C130" s="5">
        <v>46237.407800925917</v>
      </c>
      <c r="D130" s="4">
        <v>826478</v>
      </c>
      <c r="E130" s="4" t="s">
        <v>232</v>
      </c>
      <c r="F130" s="6">
        <v>2373</v>
      </c>
      <c r="G130" s="6">
        <v>0</v>
      </c>
      <c r="H130" s="6">
        <v>49426.49</v>
      </c>
    </row>
    <row r="131" spans="1:8">
      <c r="A131" s="4" t="s">
        <v>14</v>
      </c>
      <c r="B131" s="4" t="s">
        <v>15</v>
      </c>
      <c r="C131" s="5">
        <v>46238.002337962957</v>
      </c>
      <c r="D131" s="4">
        <v>554961533</v>
      </c>
      <c r="E131" s="4" t="s">
        <v>231</v>
      </c>
      <c r="F131" s="6">
        <v>0</v>
      </c>
      <c r="G131" s="6">
        <v>57.63</v>
      </c>
      <c r="H131" s="6">
        <v>49484.12</v>
      </c>
    </row>
    <row r="132" spans="1:8">
      <c r="A132" s="4" t="s">
        <v>14</v>
      </c>
      <c r="B132" s="4" t="s">
        <v>15</v>
      </c>
      <c r="C132" s="5">
        <v>46238.46429398148</v>
      </c>
      <c r="D132" s="4">
        <v>826479</v>
      </c>
      <c r="E132" s="4" t="s">
        <v>233</v>
      </c>
      <c r="F132" s="6">
        <v>81.36</v>
      </c>
      <c r="G132" s="6">
        <v>0</v>
      </c>
      <c r="H132" s="6">
        <v>49402.76</v>
      </c>
    </row>
    <row r="133" spans="1:8">
      <c r="A133" s="4" t="s">
        <v>14</v>
      </c>
      <c r="B133" s="4" t="s">
        <v>15</v>
      </c>
      <c r="C133" s="5">
        <v>46241.000625000001</v>
      </c>
      <c r="D133" s="4">
        <v>556005146</v>
      </c>
      <c r="E133" s="4" t="s">
        <v>231</v>
      </c>
      <c r="F133" s="6">
        <v>0</v>
      </c>
      <c r="G133" s="6">
        <v>76.84</v>
      </c>
      <c r="H133" s="6">
        <v>49479.6</v>
      </c>
    </row>
    <row r="134" spans="1:8">
      <c r="A134" s="4" t="s">
        <v>14</v>
      </c>
      <c r="B134" s="4" t="s">
        <v>15</v>
      </c>
      <c r="C134" s="5">
        <v>46241.54005787037</v>
      </c>
      <c r="D134" s="4">
        <v>826468</v>
      </c>
      <c r="E134" s="4" t="s">
        <v>232</v>
      </c>
      <c r="F134" s="6">
        <v>384</v>
      </c>
      <c r="G134" s="6">
        <v>0</v>
      </c>
      <c r="H134" s="6">
        <v>49095.6</v>
      </c>
    </row>
    <row r="135" spans="1:8">
      <c r="A135" s="4" t="s">
        <v>14</v>
      </c>
      <c r="B135" s="4" t="s">
        <v>15</v>
      </c>
      <c r="C135" s="5">
        <v>46244.40084490741</v>
      </c>
      <c r="D135" s="4">
        <v>45935253</v>
      </c>
      <c r="E135" s="4" t="s">
        <v>234</v>
      </c>
      <c r="F135" s="6">
        <v>0</v>
      </c>
      <c r="G135" s="6">
        <v>554.83000000000004</v>
      </c>
      <c r="H135" s="6">
        <v>49650.43</v>
      </c>
    </row>
    <row r="136" spans="1:8">
      <c r="A136" s="4" t="s">
        <v>14</v>
      </c>
      <c r="B136" s="4" t="s">
        <v>15</v>
      </c>
      <c r="C136" s="5">
        <v>46245.007407407407</v>
      </c>
      <c r="D136" s="4">
        <v>557403713</v>
      </c>
      <c r="E136" s="4" t="s">
        <v>231</v>
      </c>
      <c r="F136" s="6">
        <v>0</v>
      </c>
      <c r="G136" s="6">
        <v>552.16</v>
      </c>
      <c r="H136" s="6">
        <v>50202.59</v>
      </c>
    </row>
    <row r="137" spans="1:8">
      <c r="A137" s="4" t="s">
        <v>14</v>
      </c>
      <c r="B137" s="4" t="s">
        <v>15</v>
      </c>
      <c r="C137" s="5">
        <v>46246.058935185189</v>
      </c>
      <c r="D137" s="4">
        <v>557765645</v>
      </c>
      <c r="E137" s="4" t="s">
        <v>231</v>
      </c>
      <c r="F137" s="6">
        <v>0</v>
      </c>
      <c r="G137" s="6">
        <v>56.5</v>
      </c>
      <c r="H137" s="6">
        <v>50259.09</v>
      </c>
    </row>
    <row r="138" spans="1:8">
      <c r="A138" s="4" t="s">
        <v>14</v>
      </c>
      <c r="B138" s="4" t="s">
        <v>15</v>
      </c>
      <c r="C138" s="5">
        <v>46247.007164351853</v>
      </c>
      <c r="D138" s="4">
        <v>558124083</v>
      </c>
      <c r="E138" s="4" t="s">
        <v>231</v>
      </c>
      <c r="F138" s="6">
        <v>0</v>
      </c>
      <c r="G138" s="6">
        <v>153.68</v>
      </c>
      <c r="H138" s="6">
        <v>50412.77</v>
      </c>
    </row>
    <row r="139" spans="1:8">
      <c r="A139" s="4" t="s">
        <v>14</v>
      </c>
      <c r="B139" s="4" t="s">
        <v>15</v>
      </c>
      <c r="C139" s="5">
        <v>46247.428495370368</v>
      </c>
      <c r="D139" s="4">
        <v>45935255</v>
      </c>
      <c r="E139" s="4" t="s">
        <v>234</v>
      </c>
      <c r="F139" s="6">
        <v>0</v>
      </c>
      <c r="G139" s="6">
        <v>366.12</v>
      </c>
      <c r="H139" s="6">
        <v>50778.89</v>
      </c>
    </row>
    <row r="140" spans="1:8">
      <c r="A140" s="4" t="s">
        <v>14</v>
      </c>
      <c r="B140" s="4" t="s">
        <v>15</v>
      </c>
      <c r="C140" s="5">
        <v>46247.430266203701</v>
      </c>
      <c r="D140" s="4">
        <v>45935256</v>
      </c>
      <c r="E140" s="4" t="s">
        <v>234</v>
      </c>
      <c r="F140" s="6">
        <v>0</v>
      </c>
      <c r="G140" s="6">
        <v>1161.44</v>
      </c>
      <c r="H140" s="6">
        <v>51940.33</v>
      </c>
    </row>
    <row r="141" spans="1:8">
      <c r="A141" s="4" t="s">
        <v>14</v>
      </c>
      <c r="B141" s="4" t="s">
        <v>15</v>
      </c>
      <c r="C141" s="5">
        <v>46248.006377314807</v>
      </c>
      <c r="D141" s="4">
        <v>558581183</v>
      </c>
      <c r="E141" s="4" t="s">
        <v>231</v>
      </c>
      <c r="F141" s="6">
        <v>0</v>
      </c>
      <c r="G141" s="6">
        <v>335.61</v>
      </c>
      <c r="H141" s="6">
        <v>52275.94</v>
      </c>
    </row>
    <row r="142" spans="1:8">
      <c r="A142" s="4" t="s">
        <v>14</v>
      </c>
      <c r="B142" s="4" t="s">
        <v>15</v>
      </c>
      <c r="C142" s="5">
        <v>46248.688101851847</v>
      </c>
      <c r="D142" s="4">
        <v>558471426</v>
      </c>
      <c r="E142" s="4" t="s">
        <v>235</v>
      </c>
      <c r="F142" s="6">
        <v>437.19</v>
      </c>
      <c r="G142" s="6">
        <v>0</v>
      </c>
      <c r="H142" s="6">
        <v>51838.75</v>
      </c>
    </row>
    <row r="143" spans="1:8">
      <c r="A143" s="4" t="s">
        <v>14</v>
      </c>
      <c r="B143" s="4" t="s">
        <v>15</v>
      </c>
      <c r="C143" s="5">
        <v>46248.733877314808</v>
      </c>
      <c r="D143" s="4">
        <v>558504544</v>
      </c>
      <c r="E143" s="4" t="s">
        <v>236</v>
      </c>
      <c r="F143" s="6">
        <v>5277.98</v>
      </c>
      <c r="G143" s="6">
        <v>0</v>
      </c>
      <c r="H143" s="6">
        <v>46560.77</v>
      </c>
    </row>
    <row r="144" spans="1:8">
      <c r="A144" s="4" t="s">
        <v>14</v>
      </c>
      <c r="B144" s="4" t="s">
        <v>15</v>
      </c>
      <c r="C144" s="5">
        <v>46248.733877314808</v>
      </c>
      <c r="D144" s="4">
        <v>558504550</v>
      </c>
      <c r="E144" s="4" t="s">
        <v>237</v>
      </c>
      <c r="F144" s="6">
        <v>8769.2099999999991</v>
      </c>
      <c r="G144" s="6">
        <v>0</v>
      </c>
      <c r="H144" s="6">
        <v>37791.56</v>
      </c>
    </row>
    <row r="145" spans="1:8">
      <c r="A145" s="4" t="s">
        <v>14</v>
      </c>
      <c r="B145" s="4" t="s">
        <v>15</v>
      </c>
      <c r="C145" s="5">
        <v>46248.733888888892</v>
      </c>
      <c r="D145" s="4">
        <v>558504558</v>
      </c>
      <c r="E145" s="4" t="s">
        <v>238</v>
      </c>
      <c r="F145" s="6">
        <v>3766.21</v>
      </c>
      <c r="G145" s="6">
        <v>0</v>
      </c>
      <c r="H145" s="6">
        <v>34025.35</v>
      </c>
    </row>
    <row r="146" spans="1:8">
      <c r="A146" s="4" t="s">
        <v>14</v>
      </c>
      <c r="B146" s="4" t="s">
        <v>15</v>
      </c>
      <c r="C146" s="5">
        <v>46251.595462962963</v>
      </c>
      <c r="D146" s="4">
        <v>45935257</v>
      </c>
      <c r="E146" s="4" t="s">
        <v>234</v>
      </c>
      <c r="F146" s="6">
        <v>0</v>
      </c>
      <c r="G146" s="6">
        <v>966.05</v>
      </c>
      <c r="H146" s="6">
        <v>34991.4</v>
      </c>
    </row>
    <row r="147" spans="1:8">
      <c r="A147" s="4" t="s">
        <v>14</v>
      </c>
      <c r="B147" s="4" t="s">
        <v>15</v>
      </c>
      <c r="C147" s="5">
        <v>46251.765034722222</v>
      </c>
      <c r="D147" s="4">
        <v>559793518</v>
      </c>
      <c r="E147" s="4" t="s">
        <v>239</v>
      </c>
      <c r="F147" s="6">
        <v>276.58</v>
      </c>
      <c r="G147" s="6">
        <v>0</v>
      </c>
      <c r="H147" s="6">
        <v>34714.82</v>
      </c>
    </row>
    <row r="148" spans="1:8">
      <c r="A148" s="4" t="s">
        <v>14</v>
      </c>
      <c r="B148" s="4" t="s">
        <v>15</v>
      </c>
      <c r="C148" s="5">
        <v>46251.765057870369</v>
      </c>
      <c r="D148" s="4">
        <v>559793529</v>
      </c>
      <c r="E148" s="4" t="s">
        <v>239</v>
      </c>
      <c r="F148" s="6">
        <v>363.45</v>
      </c>
      <c r="G148" s="6">
        <v>0</v>
      </c>
      <c r="H148" s="6">
        <v>34351.370000000003</v>
      </c>
    </row>
    <row r="149" spans="1:8">
      <c r="A149" s="4" t="s">
        <v>14</v>
      </c>
      <c r="B149" s="4" t="s">
        <v>15</v>
      </c>
      <c r="C149" s="5">
        <v>46251.765081018522</v>
      </c>
      <c r="D149" s="4">
        <v>559793534</v>
      </c>
      <c r="E149" s="4" t="s">
        <v>239</v>
      </c>
      <c r="F149" s="6">
        <v>391.85</v>
      </c>
      <c r="G149" s="6">
        <v>0</v>
      </c>
      <c r="H149" s="6">
        <v>33959.519999999997</v>
      </c>
    </row>
    <row r="150" spans="1:8">
      <c r="A150" s="4" t="s">
        <v>14</v>
      </c>
      <c r="B150" s="4" t="s">
        <v>15</v>
      </c>
      <c r="C150" s="5">
        <v>46251.765115740738</v>
      </c>
      <c r="D150" s="4">
        <v>559793544</v>
      </c>
      <c r="E150" s="4" t="s">
        <v>240</v>
      </c>
      <c r="F150" s="6">
        <v>1054.5</v>
      </c>
      <c r="G150" s="6">
        <v>0</v>
      </c>
      <c r="H150" s="6">
        <v>32905.019999999997</v>
      </c>
    </row>
    <row r="151" spans="1:8">
      <c r="A151" s="4" t="s">
        <v>14</v>
      </c>
      <c r="B151" s="4" t="s">
        <v>15</v>
      </c>
      <c r="C151" s="5">
        <v>46252.380648148152</v>
      </c>
      <c r="D151" s="4">
        <v>40518427</v>
      </c>
      <c r="E151" s="4" t="s">
        <v>234</v>
      </c>
      <c r="F151" s="6">
        <v>0</v>
      </c>
      <c r="G151" s="6">
        <v>191.52</v>
      </c>
      <c r="H151" s="6">
        <v>33096.54</v>
      </c>
    </row>
    <row r="152" spans="1:8">
      <c r="A152" s="4" t="s">
        <v>14</v>
      </c>
      <c r="B152" s="4" t="s">
        <v>15</v>
      </c>
      <c r="C152" s="5">
        <v>46252.382534722223</v>
      </c>
      <c r="D152" s="4">
        <v>40518426</v>
      </c>
      <c r="E152" s="4" t="s">
        <v>234</v>
      </c>
      <c r="F152" s="6">
        <v>0</v>
      </c>
      <c r="G152" s="6">
        <v>118.72</v>
      </c>
      <c r="H152" s="6">
        <v>33215.26</v>
      </c>
    </row>
    <row r="153" spans="1:8">
      <c r="A153" s="4" t="s">
        <v>14</v>
      </c>
      <c r="B153" s="4" t="s">
        <v>15</v>
      </c>
      <c r="C153" s="5">
        <v>46253.090370370373</v>
      </c>
      <c r="D153" s="4">
        <v>560650177</v>
      </c>
      <c r="E153" s="4" t="s">
        <v>231</v>
      </c>
      <c r="F153" s="6">
        <v>0</v>
      </c>
      <c r="G153" s="6">
        <v>231</v>
      </c>
      <c r="H153" s="6">
        <v>33446.26</v>
      </c>
    </row>
    <row r="154" spans="1:8">
      <c r="A154" s="4" t="s">
        <v>14</v>
      </c>
      <c r="B154" s="4" t="s">
        <v>15</v>
      </c>
      <c r="C154" s="5">
        <v>46253.394594907397</v>
      </c>
      <c r="D154" s="4">
        <v>45935258</v>
      </c>
      <c r="E154" s="4" t="s">
        <v>234</v>
      </c>
      <c r="F154" s="6">
        <v>0</v>
      </c>
      <c r="G154" s="6">
        <v>134.47</v>
      </c>
      <c r="H154" s="6">
        <v>33580.730000000003</v>
      </c>
    </row>
    <row r="155" spans="1:8">
      <c r="A155" s="4" t="s">
        <v>14</v>
      </c>
      <c r="B155" s="4" t="s">
        <v>15</v>
      </c>
      <c r="C155" s="5">
        <v>46253.395752314813</v>
      </c>
      <c r="D155" s="4">
        <v>45935260</v>
      </c>
      <c r="E155" s="4" t="s">
        <v>234</v>
      </c>
      <c r="F155" s="6">
        <v>0</v>
      </c>
      <c r="G155" s="6">
        <v>119.78</v>
      </c>
      <c r="H155" s="6">
        <v>33700.51</v>
      </c>
    </row>
    <row r="156" spans="1:8">
      <c r="A156" s="4" t="s">
        <v>241</v>
      </c>
      <c r="B156" s="4" t="s">
        <v>17</v>
      </c>
      <c r="C156" s="5">
        <v>46238</v>
      </c>
      <c r="D156" s="4" t="s">
        <v>242</v>
      </c>
      <c r="E156" s="4" t="s">
        <v>243</v>
      </c>
      <c r="F156" s="6">
        <v>0</v>
      </c>
      <c r="G156" s="6">
        <v>124.3</v>
      </c>
      <c r="H156" s="6">
        <v>38443.89</v>
      </c>
    </row>
    <row r="157" spans="1:8">
      <c r="A157" s="4" t="s">
        <v>241</v>
      </c>
      <c r="B157" s="4" t="s">
        <v>17</v>
      </c>
      <c r="C157" s="5">
        <v>46238</v>
      </c>
      <c r="D157" s="4" t="s">
        <v>244</v>
      </c>
      <c r="E157" s="4" t="s">
        <v>245</v>
      </c>
      <c r="F157" s="6">
        <v>13140.34</v>
      </c>
      <c r="G157" s="6">
        <v>0</v>
      </c>
      <c r="H157" s="6">
        <v>25303.55</v>
      </c>
    </row>
    <row r="158" spans="1:8">
      <c r="A158" s="4" t="s">
        <v>241</v>
      </c>
      <c r="B158" s="4" t="s">
        <v>17</v>
      </c>
      <c r="C158" s="5">
        <v>46238</v>
      </c>
      <c r="D158" s="4" t="s">
        <v>244</v>
      </c>
      <c r="E158" s="4" t="s">
        <v>246</v>
      </c>
      <c r="F158" s="6">
        <v>2768.72</v>
      </c>
      <c r="G158" s="6">
        <v>0</v>
      </c>
      <c r="H158" s="6">
        <v>22534.83</v>
      </c>
    </row>
    <row r="159" spans="1:8">
      <c r="A159" s="4" t="s">
        <v>241</v>
      </c>
      <c r="B159" s="4" t="s">
        <v>17</v>
      </c>
      <c r="C159" s="5">
        <v>46238</v>
      </c>
      <c r="D159" s="4" t="s">
        <v>244</v>
      </c>
      <c r="E159" s="4" t="s">
        <v>247</v>
      </c>
      <c r="F159" s="6">
        <v>2080.84</v>
      </c>
      <c r="G159" s="6">
        <v>0</v>
      </c>
      <c r="H159" s="6">
        <v>20453.990000000002</v>
      </c>
    </row>
    <row r="160" spans="1:8">
      <c r="A160" s="4" t="s">
        <v>241</v>
      </c>
      <c r="B160" s="4" t="s">
        <v>17</v>
      </c>
      <c r="C160" s="5">
        <v>46239</v>
      </c>
      <c r="D160" s="4" t="s">
        <v>248</v>
      </c>
      <c r="E160" s="4" t="s">
        <v>249</v>
      </c>
      <c r="F160" s="6">
        <v>0</v>
      </c>
      <c r="G160" s="6">
        <v>335.61</v>
      </c>
      <c r="H160" s="6">
        <v>20789.599999999999</v>
      </c>
    </row>
    <row r="161" spans="1:8">
      <c r="A161" s="4" t="s">
        <v>241</v>
      </c>
      <c r="B161" s="4" t="s">
        <v>17</v>
      </c>
      <c r="C161" s="5">
        <v>46244</v>
      </c>
      <c r="D161" s="4" t="s">
        <v>26</v>
      </c>
      <c r="E161" s="4" t="s">
        <v>250</v>
      </c>
      <c r="F161" s="6">
        <v>0</v>
      </c>
      <c r="G161" s="6">
        <v>192.1</v>
      </c>
      <c r="H161" s="6">
        <v>20981.7</v>
      </c>
    </row>
    <row r="162" spans="1:8">
      <c r="A162" s="4" t="s">
        <v>241</v>
      </c>
      <c r="B162" s="4" t="s">
        <v>17</v>
      </c>
      <c r="C162" s="5">
        <v>46244</v>
      </c>
      <c r="D162" s="4" t="s">
        <v>251</v>
      </c>
      <c r="E162" s="4" t="s">
        <v>252</v>
      </c>
      <c r="F162" s="6">
        <v>272.74</v>
      </c>
      <c r="G162" s="6">
        <v>0</v>
      </c>
      <c r="H162" s="6">
        <v>20708.96</v>
      </c>
    </row>
    <row r="163" spans="1:8">
      <c r="A163" s="3" t="s">
        <v>241</v>
      </c>
      <c r="B163" s="3" t="s">
        <v>17</v>
      </c>
      <c r="C163" s="7">
        <v>46245</v>
      </c>
      <c r="D163" s="3" t="s">
        <v>253</v>
      </c>
      <c r="E163" s="3" t="s">
        <v>254</v>
      </c>
      <c r="F163" s="6">
        <v>0</v>
      </c>
      <c r="G163" s="6">
        <v>30000</v>
      </c>
      <c r="H163" s="6">
        <v>50708.959999999999</v>
      </c>
    </row>
    <row r="164" spans="1:8">
      <c r="A164" s="3" t="s">
        <v>241</v>
      </c>
      <c r="B164" s="3" t="s">
        <v>17</v>
      </c>
      <c r="C164" s="7">
        <v>46245</v>
      </c>
      <c r="D164" s="3" t="s">
        <v>255</v>
      </c>
      <c r="E164" s="3" t="s">
        <v>256</v>
      </c>
      <c r="F164" s="6">
        <v>0</v>
      </c>
      <c r="G164" s="6">
        <v>319</v>
      </c>
      <c r="H164" s="6">
        <v>51027.96</v>
      </c>
    </row>
    <row r="165" spans="1:8">
      <c r="A165" s="3" t="s">
        <v>241</v>
      </c>
      <c r="B165" s="3" t="s">
        <v>17</v>
      </c>
      <c r="C165" s="7">
        <v>46246</v>
      </c>
      <c r="D165" s="3" t="s">
        <v>26</v>
      </c>
      <c r="E165" s="3" t="s">
        <v>250</v>
      </c>
      <c r="F165" s="6">
        <v>0</v>
      </c>
      <c r="G165" s="6">
        <v>270</v>
      </c>
      <c r="H165" s="6">
        <v>51297.96</v>
      </c>
    </row>
    <row r="166" spans="1:8">
      <c r="A166" s="3" t="s">
        <v>241</v>
      </c>
      <c r="B166" s="3" t="s">
        <v>17</v>
      </c>
      <c r="C166" s="7">
        <v>46246</v>
      </c>
      <c r="D166" s="3" t="s">
        <v>257</v>
      </c>
      <c r="E166" s="3" t="s">
        <v>258</v>
      </c>
      <c r="F166" s="6">
        <v>0</v>
      </c>
      <c r="G166" s="6">
        <v>28.25</v>
      </c>
      <c r="H166" s="6">
        <v>51326.21</v>
      </c>
    </row>
    <row r="167" spans="1:8">
      <c r="A167" s="3" t="s">
        <v>241</v>
      </c>
      <c r="B167" s="3" t="s">
        <v>17</v>
      </c>
      <c r="C167" s="7">
        <v>46246</v>
      </c>
      <c r="D167" s="3" t="s">
        <v>259</v>
      </c>
      <c r="E167" s="3" t="s">
        <v>260</v>
      </c>
      <c r="F167" s="6">
        <v>0</v>
      </c>
      <c r="G167" s="6">
        <v>203.4</v>
      </c>
      <c r="H167" s="6">
        <v>51529.61</v>
      </c>
    </row>
    <row r="168" spans="1:8">
      <c r="A168" s="3" t="s">
        <v>241</v>
      </c>
      <c r="B168" s="3" t="s">
        <v>17</v>
      </c>
      <c r="C168" s="7">
        <v>46246</v>
      </c>
      <c r="D168" s="3" t="s">
        <v>261</v>
      </c>
      <c r="E168" s="3" t="s">
        <v>262</v>
      </c>
      <c r="F168" s="6">
        <v>0</v>
      </c>
      <c r="G168" s="6">
        <v>42.94</v>
      </c>
      <c r="H168" s="6">
        <v>51572.55</v>
      </c>
    </row>
    <row r="169" spans="1:8">
      <c r="A169" s="3" t="s">
        <v>241</v>
      </c>
      <c r="B169" s="3" t="s">
        <v>17</v>
      </c>
      <c r="C169" s="7">
        <v>46247</v>
      </c>
      <c r="D169" s="3" t="s">
        <v>263</v>
      </c>
      <c r="E169" s="3" t="s">
        <v>264</v>
      </c>
      <c r="F169" s="6">
        <v>0</v>
      </c>
      <c r="G169" s="6">
        <v>135.6</v>
      </c>
      <c r="H169" s="6">
        <v>51708.15</v>
      </c>
    </row>
    <row r="170" spans="1:8">
      <c r="A170" s="3" t="s">
        <v>241</v>
      </c>
      <c r="B170" s="3" t="s">
        <v>17</v>
      </c>
      <c r="C170" s="7">
        <v>46247</v>
      </c>
      <c r="D170" s="3" t="s">
        <v>265</v>
      </c>
      <c r="E170" s="3" t="s">
        <v>266</v>
      </c>
      <c r="F170" s="6">
        <v>0</v>
      </c>
      <c r="G170" s="6">
        <v>81.36</v>
      </c>
      <c r="H170" s="6">
        <v>51789.51</v>
      </c>
    </row>
    <row r="171" spans="1:8">
      <c r="A171" s="3" t="s">
        <v>241</v>
      </c>
      <c r="B171" s="3" t="s">
        <v>17</v>
      </c>
      <c r="C171" s="7">
        <v>46248</v>
      </c>
      <c r="D171" s="3" t="s">
        <v>26</v>
      </c>
      <c r="E171" s="3" t="s">
        <v>267</v>
      </c>
      <c r="F171" s="6">
        <v>4300</v>
      </c>
      <c r="G171" s="6">
        <v>0</v>
      </c>
      <c r="H171" s="6">
        <v>47489.51</v>
      </c>
    </row>
    <row r="172" spans="1:8">
      <c r="A172" s="3" t="s">
        <v>241</v>
      </c>
      <c r="B172" s="3" t="s">
        <v>17</v>
      </c>
      <c r="C172" s="7">
        <v>46248</v>
      </c>
      <c r="D172" s="3" t="s">
        <v>26</v>
      </c>
      <c r="E172" s="3" t="s">
        <v>268</v>
      </c>
      <c r="F172" s="6">
        <v>18520.400000000001</v>
      </c>
      <c r="G172" s="6">
        <v>0</v>
      </c>
      <c r="H172" s="6">
        <v>28969.11</v>
      </c>
    </row>
    <row r="173" spans="1:8">
      <c r="A173" s="3" t="s">
        <v>241</v>
      </c>
      <c r="B173" s="3" t="s">
        <v>17</v>
      </c>
      <c r="C173" s="7">
        <v>46248</v>
      </c>
      <c r="D173" s="3" t="s">
        <v>26</v>
      </c>
      <c r="E173" s="3" t="s">
        <v>269</v>
      </c>
      <c r="F173" s="6">
        <v>320</v>
      </c>
      <c r="G173" s="6">
        <v>0</v>
      </c>
      <c r="H173" s="6">
        <v>28649.11</v>
      </c>
    </row>
    <row r="174" spans="1:8">
      <c r="A174" s="8" t="s">
        <v>241</v>
      </c>
      <c r="B174" s="8" t="s">
        <v>17</v>
      </c>
      <c r="C174" s="7">
        <v>46248</v>
      </c>
      <c r="D174" s="8" t="s">
        <v>26</v>
      </c>
      <c r="E174" s="8" t="s">
        <v>270</v>
      </c>
      <c r="F174" s="6">
        <v>2791.54</v>
      </c>
      <c r="G174" s="6">
        <v>0</v>
      </c>
      <c r="H174" s="6">
        <v>25857.57</v>
      </c>
    </row>
    <row r="175" spans="1:8">
      <c r="A175" s="8" t="s">
        <v>241</v>
      </c>
      <c r="B175" s="8" t="s">
        <v>17</v>
      </c>
      <c r="C175" s="7">
        <v>46248</v>
      </c>
      <c r="D175" s="8" t="s">
        <v>26</v>
      </c>
      <c r="E175" s="8" t="s">
        <v>271</v>
      </c>
      <c r="F175" s="6">
        <v>183.96</v>
      </c>
      <c r="G175" s="6">
        <v>0</v>
      </c>
      <c r="H175" s="6">
        <v>25673.61</v>
      </c>
    </row>
    <row r="176" spans="1:8">
      <c r="A176" s="8" t="s">
        <v>241</v>
      </c>
      <c r="B176" s="8" t="s">
        <v>17</v>
      </c>
      <c r="C176" s="7">
        <v>46248</v>
      </c>
      <c r="D176" s="8" t="s">
        <v>272</v>
      </c>
      <c r="E176" s="8" t="s">
        <v>273</v>
      </c>
      <c r="F176" s="6">
        <v>81</v>
      </c>
      <c r="G176" s="6">
        <v>0</v>
      </c>
      <c r="H176" s="6">
        <v>25592.61</v>
      </c>
    </row>
    <row r="177" spans="1:8">
      <c r="A177" s="8" t="s">
        <v>241</v>
      </c>
      <c r="B177" s="8" t="s">
        <v>17</v>
      </c>
      <c r="C177" s="7">
        <v>46249</v>
      </c>
      <c r="D177" s="8" t="s">
        <v>274</v>
      </c>
      <c r="E177" s="8" t="s">
        <v>275</v>
      </c>
      <c r="F177" s="6">
        <v>0</v>
      </c>
      <c r="G177" s="6">
        <v>244.08</v>
      </c>
      <c r="H177" s="6">
        <v>25836.69</v>
      </c>
    </row>
    <row r="178" spans="1:8">
      <c r="A178" s="8" t="s">
        <v>241</v>
      </c>
      <c r="B178" s="8" t="s">
        <v>17</v>
      </c>
      <c r="C178" s="7">
        <v>46251</v>
      </c>
      <c r="D178" s="8" t="s">
        <v>276</v>
      </c>
      <c r="E178" s="8" t="s">
        <v>277</v>
      </c>
      <c r="F178" s="6">
        <v>0</v>
      </c>
      <c r="G178" s="6">
        <v>285.10000000000002</v>
      </c>
      <c r="H178" s="6">
        <v>26121.79</v>
      </c>
    </row>
    <row r="179" spans="1:8">
      <c r="A179" s="8" t="s">
        <v>241</v>
      </c>
      <c r="B179" s="8" t="s">
        <v>17</v>
      </c>
      <c r="C179" s="7">
        <v>46251</v>
      </c>
      <c r="D179" s="8" t="s">
        <v>278</v>
      </c>
      <c r="E179" s="8" t="s">
        <v>279</v>
      </c>
      <c r="F179" s="6">
        <v>0</v>
      </c>
      <c r="G179" s="6">
        <v>442.96</v>
      </c>
      <c r="H179" s="6">
        <v>26564.75</v>
      </c>
    </row>
    <row r="180" spans="1:8">
      <c r="A180" s="8" t="s">
        <v>241</v>
      </c>
      <c r="B180" s="8" t="s">
        <v>17</v>
      </c>
      <c r="C180" s="7">
        <v>46251</v>
      </c>
      <c r="D180" s="8" t="s">
        <v>280</v>
      </c>
      <c r="E180" s="8" t="s">
        <v>281</v>
      </c>
      <c r="F180" s="6">
        <v>695.25</v>
      </c>
      <c r="G180" s="6">
        <v>0</v>
      </c>
      <c r="H180" s="6">
        <v>25869.5</v>
      </c>
    </row>
    <row r="181" spans="1:8">
      <c r="A181" s="8" t="s">
        <v>241</v>
      </c>
      <c r="B181" s="8" t="s">
        <v>18</v>
      </c>
      <c r="C181" s="7">
        <v>46241</v>
      </c>
      <c r="D181" s="8" t="s">
        <v>26</v>
      </c>
      <c r="E181" s="8" t="s">
        <v>282</v>
      </c>
      <c r="F181" s="6">
        <v>2.2000000000000002</v>
      </c>
      <c r="G181" s="6">
        <v>0</v>
      </c>
      <c r="H181" s="6">
        <v>31.71</v>
      </c>
    </row>
    <row r="182" spans="1:8">
      <c r="A182" s="8" t="s">
        <v>241</v>
      </c>
      <c r="B182" s="8" t="s">
        <v>18</v>
      </c>
      <c r="C182" s="7">
        <v>46241</v>
      </c>
      <c r="D182" s="8" t="s">
        <v>26</v>
      </c>
      <c r="E182" s="8" t="s">
        <v>283</v>
      </c>
      <c r="F182" s="6">
        <v>0</v>
      </c>
      <c r="G182" s="6">
        <v>22.02</v>
      </c>
      <c r="H182" s="6">
        <v>53.73</v>
      </c>
    </row>
    <row r="183" spans="1:8">
      <c r="A183" s="8" t="s">
        <v>241</v>
      </c>
      <c r="B183" s="8" t="s">
        <v>18</v>
      </c>
      <c r="C183" s="7">
        <v>46244</v>
      </c>
      <c r="D183" s="8" t="s">
        <v>26</v>
      </c>
      <c r="E183" s="8" t="s">
        <v>284</v>
      </c>
      <c r="F183" s="6">
        <v>7.99</v>
      </c>
      <c r="G183" s="6">
        <v>0</v>
      </c>
      <c r="H183" s="6">
        <v>45.74</v>
      </c>
    </row>
    <row r="184" spans="1:8">
      <c r="A184" s="8" t="s">
        <v>241</v>
      </c>
      <c r="B184" s="8" t="s">
        <v>18</v>
      </c>
      <c r="C184" s="7">
        <v>46244</v>
      </c>
      <c r="D184" s="8" t="s">
        <v>26</v>
      </c>
      <c r="E184" s="8" t="s">
        <v>285</v>
      </c>
      <c r="F184" s="6">
        <v>0</v>
      </c>
      <c r="G184" s="6">
        <v>79.89</v>
      </c>
      <c r="H184" s="6">
        <v>125.63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"/>
  <sheetViews>
    <sheetView workbookViewId="0">
      <selection sqref="A1:K1"/>
    </sheetView>
  </sheetViews>
  <sheetFormatPr baseColWidth="10" defaultColWidth="10.33203125" defaultRowHeight="13.8"/>
  <cols>
    <col min="1" max="1" width="16" style="8" customWidth="1"/>
    <col min="2" max="9" width="18.33203125" style="8" customWidth="1"/>
    <col min="10" max="10" width="22.88671875" style="8" customWidth="1"/>
    <col min="11" max="11" width="20.5546875" style="8" customWidth="1"/>
    <col min="12" max="16384" width="10.33203125" style="8"/>
  </cols>
  <sheetData>
    <row r="1" spans="1:11" ht="24" customHeight="1">
      <c r="A1" s="41" t="s">
        <v>286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22.35" customHeight="1">
      <c r="A2" s="42" t="s">
        <v>287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>
      <c r="A3" s="13" t="s">
        <v>288</v>
      </c>
      <c r="B3" s="13" t="s">
        <v>6</v>
      </c>
      <c r="C3" s="43" t="s">
        <v>289</v>
      </c>
      <c r="D3" s="39"/>
      <c r="E3" s="43" t="s">
        <v>130</v>
      </c>
      <c r="F3" s="39"/>
      <c r="G3" s="13" t="s">
        <v>14</v>
      </c>
      <c r="H3" s="43" t="s">
        <v>241</v>
      </c>
      <c r="I3" s="39"/>
      <c r="J3" s="13"/>
      <c r="K3" s="13"/>
    </row>
    <row r="4" spans="1:11" ht="20.85" customHeight="1">
      <c r="A4" s="14" t="s">
        <v>290</v>
      </c>
      <c r="B4" s="15" t="s">
        <v>7</v>
      </c>
      <c r="C4" s="15" t="s">
        <v>9</v>
      </c>
      <c r="D4" s="15" t="s">
        <v>10</v>
      </c>
      <c r="E4" s="15" t="s">
        <v>12</v>
      </c>
      <c r="F4" s="15" t="s">
        <v>13</v>
      </c>
      <c r="G4" s="15" t="s">
        <v>15</v>
      </c>
      <c r="H4" s="15" t="s">
        <v>17</v>
      </c>
      <c r="I4" s="15" t="s">
        <v>18</v>
      </c>
      <c r="J4" s="14" t="s">
        <v>291</v>
      </c>
      <c r="K4" s="14" t="s">
        <v>292</v>
      </c>
    </row>
    <row r="5" spans="1:11" ht="16.8" customHeight="1">
      <c r="A5" s="16">
        <v>46235</v>
      </c>
      <c r="B5" s="17">
        <v>124.3</v>
      </c>
      <c r="C5" s="17"/>
      <c r="D5" s="17">
        <v>176.16</v>
      </c>
      <c r="E5" s="17">
        <v>1015.83</v>
      </c>
      <c r="F5" s="17">
        <v>8400</v>
      </c>
      <c r="G5" s="17"/>
      <c r="H5" s="17"/>
      <c r="I5" s="17"/>
      <c r="J5" s="18">
        <v>9716.2900000000009</v>
      </c>
      <c r="K5" s="19">
        <v>4</v>
      </c>
    </row>
    <row r="6" spans="1:11" ht="16.8" customHeight="1">
      <c r="A6" s="20">
        <v>46236</v>
      </c>
      <c r="B6" s="21"/>
      <c r="C6" s="21"/>
      <c r="D6" s="21"/>
      <c r="E6" s="21"/>
      <c r="F6" s="21"/>
      <c r="G6" s="21"/>
      <c r="H6" s="21"/>
      <c r="I6" s="21"/>
      <c r="J6" s="18">
        <v>0</v>
      </c>
      <c r="K6" s="22">
        <v>0</v>
      </c>
    </row>
    <row r="7" spans="1:11" ht="16.8" customHeight="1">
      <c r="A7" s="16">
        <v>46237</v>
      </c>
      <c r="B7" s="17">
        <v>333.35</v>
      </c>
      <c r="C7" s="17"/>
      <c r="D7" s="17">
        <v>508.93</v>
      </c>
      <c r="E7" s="17"/>
      <c r="F7" s="17">
        <v>940.8</v>
      </c>
      <c r="G7" s="17">
        <v>560.48</v>
      </c>
      <c r="H7" s="17"/>
      <c r="I7" s="17"/>
      <c r="J7" s="18">
        <v>2343.56</v>
      </c>
      <c r="K7" s="19">
        <v>4</v>
      </c>
    </row>
    <row r="8" spans="1:11" ht="16.8" customHeight="1">
      <c r="A8" s="20">
        <v>46238</v>
      </c>
      <c r="B8" s="21">
        <v>1929.79</v>
      </c>
      <c r="C8" s="21">
        <v>985.6</v>
      </c>
      <c r="D8" s="21">
        <v>160</v>
      </c>
      <c r="E8" s="21">
        <v>827.16</v>
      </c>
      <c r="F8" s="21">
        <v>211.31</v>
      </c>
      <c r="G8" s="21">
        <v>57.63</v>
      </c>
      <c r="H8" s="21">
        <v>124.3</v>
      </c>
      <c r="I8" s="21"/>
      <c r="J8" s="18">
        <v>4295.79</v>
      </c>
      <c r="K8" s="22">
        <v>7</v>
      </c>
    </row>
    <row r="9" spans="1:11" ht="16.8" customHeight="1">
      <c r="A9" s="16">
        <v>46239</v>
      </c>
      <c r="B9" s="17">
        <v>197.75</v>
      </c>
      <c r="C9" s="17"/>
      <c r="D9" s="17">
        <v>100</v>
      </c>
      <c r="E9" s="17">
        <v>45.2</v>
      </c>
      <c r="F9" s="17">
        <v>824.9</v>
      </c>
      <c r="G9" s="17"/>
      <c r="H9" s="17">
        <v>335.61</v>
      </c>
      <c r="I9" s="17"/>
      <c r="J9" s="18">
        <v>1503.46</v>
      </c>
      <c r="K9" s="19">
        <v>5</v>
      </c>
    </row>
    <row r="10" spans="1:11" ht="16.8" customHeight="1">
      <c r="A10" s="20">
        <v>46240</v>
      </c>
      <c r="B10" s="21">
        <v>622.82000000000005</v>
      </c>
      <c r="C10" s="21"/>
      <c r="D10" s="21"/>
      <c r="E10" s="21"/>
      <c r="F10" s="21"/>
      <c r="G10" s="21"/>
      <c r="H10" s="21"/>
      <c r="I10" s="21"/>
      <c r="J10" s="18">
        <v>622.82000000000005</v>
      </c>
      <c r="K10" s="22">
        <v>1</v>
      </c>
    </row>
    <row r="11" spans="1:11" ht="16.8" customHeight="1">
      <c r="A11" s="16">
        <v>46241</v>
      </c>
      <c r="B11" s="17">
        <v>1115.8800000000001</v>
      </c>
      <c r="C11" s="17">
        <v>67.8</v>
      </c>
      <c r="D11" s="17">
        <v>461.98</v>
      </c>
      <c r="E11" s="17">
        <v>1021.92</v>
      </c>
      <c r="F11" s="17"/>
      <c r="G11" s="17">
        <v>76.84</v>
      </c>
      <c r="H11" s="17"/>
      <c r="I11" s="17">
        <v>22.02</v>
      </c>
      <c r="J11" s="18">
        <v>2766.44</v>
      </c>
      <c r="K11" s="19">
        <v>6</v>
      </c>
    </row>
    <row r="12" spans="1:11" ht="16.8" customHeight="1">
      <c r="A12" s="20">
        <v>46242</v>
      </c>
      <c r="B12" s="21"/>
      <c r="C12" s="21"/>
      <c r="D12" s="21"/>
      <c r="E12" s="21">
        <v>814.73</v>
      </c>
      <c r="F12" s="21"/>
      <c r="G12" s="21"/>
      <c r="H12" s="21"/>
      <c r="I12" s="21"/>
      <c r="J12" s="18">
        <v>814.73</v>
      </c>
      <c r="K12" s="22">
        <v>1</v>
      </c>
    </row>
    <row r="13" spans="1:11" ht="16.8" customHeight="1">
      <c r="A13" s="16">
        <v>46243</v>
      </c>
      <c r="B13" s="17"/>
      <c r="C13" s="17"/>
      <c r="D13" s="17"/>
      <c r="E13" s="17"/>
      <c r="F13" s="17"/>
      <c r="G13" s="17"/>
      <c r="H13" s="17"/>
      <c r="I13" s="17"/>
      <c r="J13" s="18">
        <v>0</v>
      </c>
      <c r="K13" s="19">
        <v>0</v>
      </c>
    </row>
    <row r="14" spans="1:11" ht="16.8" customHeight="1">
      <c r="A14" s="20">
        <v>46244</v>
      </c>
      <c r="B14" s="21">
        <v>716.42</v>
      </c>
      <c r="C14" s="21">
        <v>113.14</v>
      </c>
      <c r="D14" s="21">
        <v>267.26</v>
      </c>
      <c r="E14" s="21"/>
      <c r="F14" s="21">
        <v>911.91</v>
      </c>
      <c r="G14" s="21">
        <v>554.83000000000004</v>
      </c>
      <c r="H14" s="21">
        <v>192.1</v>
      </c>
      <c r="I14" s="21">
        <v>79.89</v>
      </c>
      <c r="J14" s="18">
        <v>2835.55</v>
      </c>
      <c r="K14" s="22">
        <v>7</v>
      </c>
    </row>
    <row r="15" spans="1:11" ht="16.8" customHeight="1">
      <c r="A15" s="16">
        <v>46245</v>
      </c>
      <c r="B15" s="17">
        <v>904</v>
      </c>
      <c r="C15" s="17">
        <v>372.9</v>
      </c>
      <c r="D15" s="17">
        <v>604.79999999999995</v>
      </c>
      <c r="E15" s="17">
        <v>0</v>
      </c>
      <c r="F15" s="17">
        <v>225.25</v>
      </c>
      <c r="G15" s="17">
        <v>552.16</v>
      </c>
      <c r="H15" s="17">
        <v>30319</v>
      </c>
      <c r="I15" s="17"/>
      <c r="J15" s="18">
        <v>32978.11</v>
      </c>
      <c r="K15" s="19">
        <v>6</v>
      </c>
    </row>
    <row r="16" spans="1:11" ht="16.8" customHeight="1">
      <c r="A16" s="20">
        <v>46246</v>
      </c>
      <c r="B16" s="21">
        <v>6110.3</v>
      </c>
      <c r="C16" s="21"/>
      <c r="D16" s="21">
        <v>729.98</v>
      </c>
      <c r="E16" s="21">
        <v>640.59</v>
      </c>
      <c r="F16" s="21">
        <v>281.29000000000002</v>
      </c>
      <c r="G16" s="21">
        <v>56.5</v>
      </c>
      <c r="H16" s="21">
        <v>544.59</v>
      </c>
      <c r="I16" s="21"/>
      <c r="J16" s="18">
        <v>8363.25</v>
      </c>
      <c r="K16" s="22">
        <v>6</v>
      </c>
    </row>
    <row r="17" spans="1:11" ht="16.8" customHeight="1">
      <c r="A17" s="16">
        <v>46247</v>
      </c>
      <c r="B17" s="17">
        <v>604.86</v>
      </c>
      <c r="C17" s="17">
        <v>1.38</v>
      </c>
      <c r="D17" s="17"/>
      <c r="E17" s="17">
        <v>169.3</v>
      </c>
      <c r="F17" s="17">
        <v>564.08000000000004</v>
      </c>
      <c r="G17" s="17">
        <v>1681.24</v>
      </c>
      <c r="H17" s="17">
        <v>216.96</v>
      </c>
      <c r="I17" s="17"/>
      <c r="J17" s="18">
        <v>3237.82</v>
      </c>
      <c r="K17" s="19">
        <v>6</v>
      </c>
    </row>
    <row r="18" spans="1:11" ht="16.8" customHeight="1">
      <c r="A18" s="20">
        <v>46248</v>
      </c>
      <c r="B18" s="21">
        <v>9077.44</v>
      </c>
      <c r="C18" s="21">
        <v>66.67</v>
      </c>
      <c r="D18" s="21">
        <v>25.99</v>
      </c>
      <c r="E18" s="21">
        <v>1893.46</v>
      </c>
      <c r="F18" s="21">
        <v>0</v>
      </c>
      <c r="G18" s="21">
        <v>335.61</v>
      </c>
      <c r="H18" s="21">
        <v>0</v>
      </c>
      <c r="I18" s="21"/>
      <c r="J18" s="18">
        <v>11399.17</v>
      </c>
      <c r="K18" s="22">
        <v>5</v>
      </c>
    </row>
    <row r="19" spans="1:11" ht="16.8" customHeight="1">
      <c r="A19" s="16">
        <v>46249</v>
      </c>
      <c r="B19" s="17"/>
      <c r="C19" s="17"/>
      <c r="D19" s="17">
        <v>532.23</v>
      </c>
      <c r="E19" s="17">
        <v>40.99</v>
      </c>
      <c r="F19" s="17">
        <v>84.75</v>
      </c>
      <c r="G19" s="17"/>
      <c r="H19" s="17">
        <v>244.08</v>
      </c>
      <c r="I19" s="17"/>
      <c r="J19" s="18">
        <v>902.05</v>
      </c>
      <c r="K19" s="19">
        <v>4</v>
      </c>
    </row>
    <row r="20" spans="1:11" ht="16.8" customHeight="1">
      <c r="A20" s="20">
        <v>46250</v>
      </c>
      <c r="B20" s="21">
        <v>282.5</v>
      </c>
      <c r="C20" s="21"/>
      <c r="D20" s="21"/>
      <c r="E20" s="21">
        <v>237.34</v>
      </c>
      <c r="F20" s="21"/>
      <c r="G20" s="21"/>
      <c r="H20" s="21"/>
      <c r="I20" s="21"/>
      <c r="J20" s="18">
        <v>519.84</v>
      </c>
      <c r="K20" s="22">
        <v>2</v>
      </c>
    </row>
    <row r="21" spans="1:11" ht="16.8" customHeight="1">
      <c r="A21" s="16">
        <v>46251</v>
      </c>
      <c r="B21" s="17">
        <v>387.59</v>
      </c>
      <c r="C21" s="17">
        <v>21.47</v>
      </c>
      <c r="D21" s="17">
        <v>793.26</v>
      </c>
      <c r="E21" s="17"/>
      <c r="F21" s="17">
        <v>637.25</v>
      </c>
      <c r="G21" s="17">
        <v>966.05</v>
      </c>
      <c r="H21" s="17">
        <v>728.06</v>
      </c>
      <c r="I21" s="17"/>
      <c r="J21" s="18">
        <v>3533.68</v>
      </c>
      <c r="K21" s="19">
        <v>6</v>
      </c>
    </row>
    <row r="22" spans="1:11" ht="16.8" customHeight="1">
      <c r="A22" s="20">
        <v>46252</v>
      </c>
      <c r="B22" s="21">
        <v>1671.29</v>
      </c>
      <c r="C22" s="21">
        <v>6163.5</v>
      </c>
      <c r="D22" s="21">
        <v>339</v>
      </c>
      <c r="E22" s="21">
        <v>307.38</v>
      </c>
      <c r="F22" s="21"/>
      <c r="G22" s="21">
        <v>310.24</v>
      </c>
      <c r="H22" s="21"/>
      <c r="I22" s="21"/>
      <c r="J22" s="18">
        <v>8791.41</v>
      </c>
      <c r="K22" s="22">
        <v>5</v>
      </c>
    </row>
    <row r="23" spans="1:11" ht="16.8" customHeight="1">
      <c r="A23" s="16">
        <v>46253</v>
      </c>
      <c r="B23" s="17">
        <v>371.77</v>
      </c>
      <c r="C23" s="17"/>
      <c r="D23" s="17">
        <v>56.5</v>
      </c>
      <c r="E23" s="17">
        <v>2093.02</v>
      </c>
      <c r="F23" s="17">
        <v>5251.38</v>
      </c>
      <c r="G23" s="17">
        <v>485.25</v>
      </c>
      <c r="H23" s="17"/>
      <c r="I23" s="17"/>
      <c r="J23" s="18">
        <v>8257.92</v>
      </c>
      <c r="K23" s="19">
        <v>5</v>
      </c>
    </row>
  </sheetData>
  <mergeCells count="5">
    <mergeCell ref="A1:K1"/>
    <mergeCell ref="A2:K2"/>
    <mergeCell ref="C3:D3"/>
    <mergeCell ref="E3:F3"/>
    <mergeCell ref="H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5"/>
  <sheetViews>
    <sheetView tabSelected="1" workbookViewId="0">
      <selection activeCell="H23" sqref="H23"/>
    </sheetView>
  </sheetViews>
  <sheetFormatPr baseColWidth="10" defaultColWidth="10.33203125" defaultRowHeight="13.8"/>
  <cols>
    <col min="1" max="1" width="17.109375" style="8" customWidth="1"/>
    <col min="2" max="4" width="20.5546875" style="8" customWidth="1"/>
    <col min="5" max="5" width="3.44140625" style="8" customWidth="1"/>
    <col min="6" max="6" width="22.88671875" style="8" customWidth="1"/>
    <col min="7" max="7" width="16" style="8" customWidth="1"/>
    <col min="8" max="8" width="20.5546875" style="8" customWidth="1"/>
    <col min="9" max="9" width="10.33203125" style="8"/>
    <col min="10" max="17" width="13.6640625" style="8" customWidth="1"/>
    <col min="18" max="23" width="10.33203125" style="8"/>
    <col min="24" max="25" width="2.33203125" style="8" customWidth="1"/>
    <col min="26" max="16384" width="10.33203125" style="8"/>
  </cols>
  <sheetData>
    <row r="1" spans="1:25" ht="25.65" customHeight="1">
      <c r="A1" s="41" t="s">
        <v>293</v>
      </c>
      <c r="B1" s="39"/>
      <c r="C1" s="39"/>
      <c r="D1" s="39"/>
      <c r="E1" s="39"/>
      <c r="F1" s="39"/>
      <c r="G1" s="39"/>
      <c r="H1" s="39"/>
      <c r="X1" s="23" t="s">
        <v>290</v>
      </c>
      <c r="Y1" s="37" t="s">
        <v>294</v>
      </c>
    </row>
    <row r="2" spans="1:25" ht="22.35" customHeight="1">
      <c r="A2" s="42" t="s">
        <v>295</v>
      </c>
      <c r="B2" s="39"/>
      <c r="C2" s="39"/>
      <c r="D2" s="39"/>
      <c r="E2" s="39"/>
      <c r="F2" s="39"/>
      <c r="G2" s="39"/>
      <c r="H2" s="39"/>
      <c r="X2" s="23" t="s">
        <v>296</v>
      </c>
      <c r="Y2" s="37">
        <f t="shared" ref="Y2:Y20" si="0">B15</f>
        <v>9716.2900000000009</v>
      </c>
    </row>
    <row r="3" spans="1:25">
      <c r="X3" s="23" t="s">
        <v>297</v>
      </c>
      <c r="Y3" s="37">
        <f t="shared" si="0"/>
        <v>0</v>
      </c>
    </row>
    <row r="4" spans="1:25">
      <c r="A4" s="14" t="s">
        <v>298</v>
      </c>
      <c r="B4" s="14"/>
      <c r="C4" s="14" t="s">
        <v>299</v>
      </c>
      <c r="D4" s="14"/>
      <c r="E4" s="14" t="s">
        <v>300</v>
      </c>
      <c r="F4" s="14"/>
      <c r="G4" s="14" t="s">
        <v>288</v>
      </c>
      <c r="H4" s="14"/>
      <c r="X4" s="23" t="s">
        <v>301</v>
      </c>
      <c r="Y4" s="37">
        <f t="shared" si="0"/>
        <v>2343.56</v>
      </c>
    </row>
    <row r="5" spans="1:25" ht="12" customHeight="1">
      <c r="A5" s="49">
        <v>46235</v>
      </c>
      <c r="B5" s="39"/>
      <c r="C5" s="49">
        <v>46253</v>
      </c>
      <c r="D5" s="39"/>
      <c r="E5" s="50" t="s">
        <v>302</v>
      </c>
      <c r="F5" s="39"/>
      <c r="G5" s="51" t="s">
        <v>303</v>
      </c>
      <c r="H5" s="39"/>
      <c r="X5" s="23" t="s">
        <v>304</v>
      </c>
      <c r="Y5" s="37">
        <f t="shared" si="0"/>
        <v>4295.79</v>
      </c>
    </row>
    <row r="6" spans="1:25">
      <c r="X6" s="23" t="s">
        <v>305</v>
      </c>
      <c r="Y6" s="37">
        <f t="shared" si="0"/>
        <v>1503.46</v>
      </c>
    </row>
    <row r="7" spans="1:25" ht="14.4">
      <c r="A7" s="13" t="s">
        <v>306</v>
      </c>
      <c r="B7" s="13"/>
      <c r="C7" s="13" t="s">
        <v>307</v>
      </c>
      <c r="D7" s="13"/>
      <c r="E7" s="13" t="s">
        <v>308</v>
      </c>
      <c r="F7" s="13"/>
      <c r="G7" s="13" t="s">
        <v>292</v>
      </c>
      <c r="H7" s="13"/>
      <c r="I7" s="53" t="s">
        <v>330</v>
      </c>
      <c r="J7" s="53"/>
      <c r="X7" s="23" t="s">
        <v>309</v>
      </c>
      <c r="Y7" s="37">
        <f t="shared" si="0"/>
        <v>622.82000000000005</v>
      </c>
    </row>
    <row r="8" spans="1:25" ht="15.6" customHeight="1">
      <c r="A8" s="44">
        <f>SUM(H15:H22)</f>
        <v>102881.89</v>
      </c>
      <c r="B8" s="45"/>
      <c r="C8" s="44">
        <f>IFERROR(AVERAGEIF(H15:H22,"&gt;0"),0)</f>
        <v>12860.23625</v>
      </c>
      <c r="D8" s="45"/>
      <c r="E8" s="44">
        <f>IFERROR(MAX(H15:H22),0)</f>
        <v>32704.7</v>
      </c>
      <c r="F8" s="45"/>
      <c r="G8" s="46">
        <f>COUNTIF(H15:H22,"&gt;0")</f>
        <v>8</v>
      </c>
      <c r="H8" s="47"/>
      <c r="I8" s="54">
        <f>IF($E$5&lt;&gt;"TODAS",SUMIF('SALDOS POR CUENTA'!$B$5:$B$100,$E$5,'SALDOS POR CUENTA'!$D$5:$D$100),IF($G$5&lt;&gt;"TODOS",SUMIF('SALDOS POR CUENTA'!$A$5:$A$100,"*"&amp;SUBSTITUTE(TRIM($G$5),"BANCO ","")&amp;"*",'SALDOS POR CUENTA'!$D$5:$D$100),SUM('SALDOS POR CUENTA'!$D$5:$D$100)))</f>
        <v>268945.52</v>
      </c>
      <c r="J8" s="54"/>
      <c r="X8" s="23" t="s">
        <v>310</v>
      </c>
      <c r="Y8" s="37">
        <f t="shared" si="0"/>
        <v>2766.44</v>
      </c>
    </row>
    <row r="9" spans="1:25">
      <c r="X9" s="23" t="s">
        <v>311</v>
      </c>
      <c r="Y9" s="37">
        <f t="shared" si="0"/>
        <v>814.73</v>
      </c>
    </row>
    <row r="10" spans="1:25" ht="6.45" customHeight="1">
      <c r="A10" s="24"/>
      <c r="B10" s="24"/>
      <c r="C10" s="24"/>
      <c r="D10" s="24"/>
      <c r="E10" s="24"/>
      <c r="F10" s="24"/>
      <c r="G10" s="24"/>
      <c r="H10" s="24"/>
      <c r="X10" s="23" t="s">
        <v>312</v>
      </c>
      <c r="Y10" s="37">
        <f t="shared" si="0"/>
        <v>0</v>
      </c>
    </row>
    <row r="11" spans="1:25">
      <c r="X11" s="23" t="s">
        <v>313</v>
      </c>
      <c r="Y11" s="37">
        <f t="shared" si="0"/>
        <v>2835.55</v>
      </c>
    </row>
    <row r="12" spans="1:25">
      <c r="X12" s="23" t="s">
        <v>314</v>
      </c>
      <c r="Y12" s="37">
        <f t="shared" si="0"/>
        <v>32978.11</v>
      </c>
    </row>
    <row r="13" spans="1:25" ht="12" customHeight="1">
      <c r="A13" s="48" t="s">
        <v>315</v>
      </c>
      <c r="B13" s="39"/>
      <c r="C13" s="39"/>
      <c r="D13" s="39"/>
      <c r="F13" s="48" t="s">
        <v>316</v>
      </c>
      <c r="G13" s="39"/>
      <c r="H13" s="39"/>
      <c r="X13" s="23" t="s">
        <v>317</v>
      </c>
      <c r="Y13" s="37">
        <f t="shared" si="0"/>
        <v>8363.25</v>
      </c>
    </row>
    <row r="14" spans="1:25">
      <c r="A14" s="14" t="s">
        <v>290</v>
      </c>
      <c r="B14" s="14" t="s">
        <v>318</v>
      </c>
      <c r="C14" s="14" t="s">
        <v>319</v>
      </c>
      <c r="D14" s="14" t="s">
        <v>320</v>
      </c>
      <c r="F14" s="14" t="s">
        <v>2</v>
      </c>
      <c r="G14" s="14" t="s">
        <v>3</v>
      </c>
      <c r="H14" s="14" t="s">
        <v>321</v>
      </c>
      <c r="X14" s="23" t="s">
        <v>322</v>
      </c>
      <c r="Y14" s="37">
        <f t="shared" si="0"/>
        <v>3237.82</v>
      </c>
    </row>
    <row r="15" spans="1:25">
      <c r="A15" s="25">
        <f>IF(AND('REPORTE CREDITOS DIARIOS'!A5&gt;=$A$5,'REPORTE CREDITOS DIARIOS'!A5&lt;=$C$5),'REPORTE CREDITOS DIARIOS'!A5,"")</f>
        <v>46235</v>
      </c>
      <c r="B15" s="35">
        <f>IF(A15="",0,IF($E$5&lt;&gt;"TODAS",IFERROR(INDEX('REPORTE CREDITOS DIARIOS'!$B$5:$I$23,MATCH(A15,'REPORTE CREDITOS DIARIOS'!$A$5:$A$23,0),MATCH($E$5,'REPORTE CREDITOS DIARIOS'!$B$4:$I$4,0)),0),IF($G$5="TODOS",IFERROR(SUMIF('REPORTE CREDITOS DIARIOS'!$A$5:$A$23,A15,'REPORTE CREDITOS DIARIOS'!$J$5:$J$23),0),0)))</f>
        <v>9716.2900000000009</v>
      </c>
      <c r="C15" s="35">
        <f>0</f>
        <v>0</v>
      </c>
      <c r="D15" s="26">
        <f>IF(A15="",0,IF($G$5="TODOS",IFERROR(INDEX('REPORTE CREDITOS DIARIOS'!$K$5:$K$23,MATCH(A15,'REPORTE CREDITOS DIARIOS'!$A$5:$A$23,0)),0),IF(B15&gt;0,1,0)))</f>
        <v>4</v>
      </c>
      <c r="F15" s="27" t="s">
        <v>25</v>
      </c>
      <c r="G15" s="28" t="s">
        <v>7</v>
      </c>
      <c r="H15" s="35">
        <f>IF(AND(OR($G$5="TODOS",TRIM($G$5)=TRIM(F15)),OR($E$5="TODAS",TEXT($E$5,"0")=TEXT(G15,"0"))),SUMIFS('REPORTE CREDITOS DIARIOS'!$B$5:$B$23,'REPORTE CREDITOS DIARIOS'!$A$5:$A$23,"&gt;="&amp;$A$5,'REPORTE CREDITOS DIARIOS'!$A$5:$A$23,"&lt;="&amp;$C$5),0)</f>
        <v>24450.060000000005</v>
      </c>
      <c r="X15" s="23" t="s">
        <v>323</v>
      </c>
      <c r="Y15" s="37">
        <f t="shared" si="0"/>
        <v>11399.17</v>
      </c>
    </row>
    <row r="16" spans="1:25">
      <c r="A16" s="29">
        <f>IF(AND('REPORTE CREDITOS DIARIOS'!A6&gt;=$A$5,'REPORTE CREDITOS DIARIOS'!A6&lt;=$C$5),'REPORTE CREDITOS DIARIOS'!A6,"")</f>
        <v>46236</v>
      </c>
      <c r="B16" s="36">
        <f>IF(A16="",0,IF($E$5&lt;&gt;"TODAS",IFERROR(INDEX('REPORTE CREDITOS DIARIOS'!$B$5:$I$23,MATCH(A16,'REPORTE CREDITOS DIARIOS'!$A$5:$A$23,0),MATCH($E$5,'REPORTE CREDITOS DIARIOS'!$B$4:$I$4,0)),0),IF($G$5="TODOS",IFERROR(SUMIF('REPORTE CREDITOS DIARIOS'!$A$5:$A$23,A16,'REPORTE CREDITOS DIARIOS'!$J$5:$J$23),0),0)))</f>
        <v>0</v>
      </c>
      <c r="C16" s="36">
        <f t="shared" ref="C16:C33" si="1">B16-B15</f>
        <v>-9716.2900000000009</v>
      </c>
      <c r="D16" s="30">
        <f>IF(A16="",0,IF($G$5="TODOS",IFERROR(INDEX('REPORTE CREDITOS DIARIOS'!$K$5:$K$23,MATCH(A16,'REPORTE CREDITOS DIARIOS'!$A$5:$A$23,0)),0),IF(B16&gt;0,1,0)))</f>
        <v>0</v>
      </c>
      <c r="F16" s="31" t="s">
        <v>289</v>
      </c>
      <c r="G16" s="32" t="s">
        <v>9</v>
      </c>
      <c r="H16" s="36">
        <f>IF(AND(OR($G$5="TODOS",TRIM($G$5)=TRIM(F16)),OR($E$5="TODAS",TEXT($E$5,"0")=TEXT(G16,"0"))),SUMIFS('REPORTE CREDITOS DIARIOS'!$C$5:$C$23,'REPORTE CREDITOS DIARIOS'!$A$5:$A$23,"&gt;="&amp;$A$5,'REPORTE CREDITOS DIARIOS'!$A$5:$A$23,"&lt;="&amp;$C$5),0)</f>
        <v>7792.46</v>
      </c>
      <c r="X16" s="23" t="s">
        <v>324</v>
      </c>
      <c r="Y16" s="37">
        <f t="shared" si="0"/>
        <v>902.05</v>
      </c>
    </row>
    <row r="17" spans="1:25">
      <c r="A17" s="25">
        <f>IF(AND('REPORTE CREDITOS DIARIOS'!A7&gt;=$A$5,'REPORTE CREDITOS DIARIOS'!A7&lt;=$C$5),'REPORTE CREDITOS DIARIOS'!A7,"")</f>
        <v>46237</v>
      </c>
      <c r="B17" s="35">
        <f>IF(A17="",0,IF($E$5&lt;&gt;"TODAS",IFERROR(INDEX('REPORTE CREDITOS DIARIOS'!$B$5:$I$23,MATCH(A17,'REPORTE CREDITOS DIARIOS'!$A$5:$A$23,0),MATCH($E$5,'REPORTE CREDITOS DIARIOS'!$B$4:$I$4,0)),0),IF($G$5="TODOS",IFERROR(SUMIF('REPORTE CREDITOS DIARIOS'!$A$5:$A$23,A17,'REPORTE CREDITOS DIARIOS'!$J$5:$J$23),0),0)))</f>
        <v>2343.56</v>
      </c>
      <c r="C17" s="35">
        <f t="shared" si="1"/>
        <v>2343.56</v>
      </c>
      <c r="D17" s="26">
        <f>IF(A17="",0,IF($G$5="TODOS",IFERROR(INDEX('REPORTE CREDITOS DIARIOS'!$K$5:$K$23,MATCH(A17,'REPORTE CREDITOS DIARIOS'!$A$5:$A$23,0)),0),IF(B17&gt;0,1,0)))</f>
        <v>4</v>
      </c>
      <c r="F17" s="27" t="s">
        <v>289</v>
      </c>
      <c r="G17" s="28" t="s">
        <v>10</v>
      </c>
      <c r="H17" s="35">
        <f>IF(AND(OR($G$5="TODOS",TRIM($G$5)=TRIM(F17)),OR($E$5="TODAS",TEXT($E$5,"0")=TEXT(G17,"0"))),SUMIFS('REPORTE CREDITOS DIARIOS'!$D$5:$D$23,'REPORTE CREDITOS DIARIOS'!$A$5:$A$23,"&gt;="&amp;$A$5,'REPORTE CREDITOS DIARIOS'!$A$5:$A$23,"&lt;="&amp;$C$5),0)</f>
        <v>4756.09</v>
      </c>
      <c r="X17" s="23" t="s">
        <v>325</v>
      </c>
      <c r="Y17" s="37">
        <f t="shared" si="0"/>
        <v>519.84</v>
      </c>
    </row>
    <row r="18" spans="1:25">
      <c r="A18" s="29">
        <f>IF(AND('REPORTE CREDITOS DIARIOS'!A8&gt;=$A$5,'REPORTE CREDITOS DIARIOS'!A8&lt;=$C$5),'REPORTE CREDITOS DIARIOS'!A8,"")</f>
        <v>46238</v>
      </c>
      <c r="B18" s="36">
        <f>IF(A18="",0,IF($E$5&lt;&gt;"TODAS",IFERROR(INDEX('REPORTE CREDITOS DIARIOS'!$B$5:$I$23,MATCH(A18,'REPORTE CREDITOS DIARIOS'!$A$5:$A$23,0),MATCH($E$5,'REPORTE CREDITOS DIARIOS'!$B$4:$I$4,0)),0),IF($G$5="TODOS",IFERROR(SUMIF('REPORTE CREDITOS DIARIOS'!$A$5:$A$23,A18,'REPORTE CREDITOS DIARIOS'!$J$5:$J$23),0),0)))</f>
        <v>4295.79</v>
      </c>
      <c r="C18" s="36">
        <f t="shared" si="1"/>
        <v>1952.23</v>
      </c>
      <c r="D18" s="30">
        <f>IF(A18="",0,IF($G$5="TODOS",IFERROR(INDEX('REPORTE CREDITOS DIARIOS'!$K$5:$K$23,MATCH(A18,'REPORTE CREDITOS DIARIOS'!$A$5:$A$23,0)),0),IF(B18&gt;0,1,0)))</f>
        <v>7</v>
      </c>
      <c r="F18" s="31" t="s">
        <v>130</v>
      </c>
      <c r="G18" s="32" t="s">
        <v>12</v>
      </c>
      <c r="H18" s="36">
        <f>IF(AND(OR($G$5="TODOS",TRIM($G$5)=TRIM(F18)),OR($E$5="TODAS",TEXT($E$5,"0")=TEXT(G18,"0"))),SUMIFS('REPORTE CREDITOS DIARIOS'!$E$5:$E$23,'REPORTE CREDITOS DIARIOS'!$A$5:$A$23,"&gt;="&amp;$A$5,'REPORTE CREDITOS DIARIOS'!$A$5:$A$23,"&lt;="&amp;$C$5),0)</f>
        <v>9106.92</v>
      </c>
      <c r="X18" s="23" t="s">
        <v>326</v>
      </c>
      <c r="Y18" s="37">
        <f t="shared" si="0"/>
        <v>3533.68</v>
      </c>
    </row>
    <row r="19" spans="1:25">
      <c r="A19" s="25">
        <f>IF(AND('REPORTE CREDITOS DIARIOS'!A9&gt;=$A$5,'REPORTE CREDITOS DIARIOS'!A9&lt;=$C$5),'REPORTE CREDITOS DIARIOS'!A9,"")</f>
        <v>46239</v>
      </c>
      <c r="B19" s="35">
        <f>IF(A19="",0,IF($E$5&lt;&gt;"TODAS",IFERROR(INDEX('REPORTE CREDITOS DIARIOS'!$B$5:$I$23,MATCH(A19,'REPORTE CREDITOS DIARIOS'!$A$5:$A$23,0),MATCH($E$5,'REPORTE CREDITOS DIARIOS'!$B$4:$I$4,0)),0),IF($G$5="TODOS",IFERROR(SUMIF('REPORTE CREDITOS DIARIOS'!$A$5:$A$23,A19,'REPORTE CREDITOS DIARIOS'!$J$5:$J$23),0),0)))</f>
        <v>1503.46</v>
      </c>
      <c r="C19" s="35">
        <f t="shared" si="1"/>
        <v>-2792.33</v>
      </c>
      <c r="D19" s="26">
        <f>IF(A19="",0,IF($G$5="TODOS",IFERROR(INDEX('REPORTE CREDITOS DIARIOS'!$K$5:$K$23,MATCH(A19,'REPORTE CREDITOS DIARIOS'!$A$5:$A$23,0)),0),IF(B19&gt;0,1,0)))</f>
        <v>5</v>
      </c>
      <c r="F19" s="27" t="s">
        <v>130</v>
      </c>
      <c r="G19" s="28" t="s">
        <v>13</v>
      </c>
      <c r="H19" s="35">
        <f>IF(AND(OR($G$5="TODOS",TRIM($G$5)=TRIM(F19)),OR($E$5="TODAS",TEXT($E$5,"0")=TEXT(G19,"0"))),SUMIFS('REPORTE CREDITOS DIARIOS'!$F$5:$F$23,'REPORTE CREDITOS DIARIOS'!$A$5:$A$23,"&gt;="&amp;$A$5,'REPORTE CREDITOS DIARIOS'!$A$5:$A$23,"&lt;="&amp;$C$5),0)</f>
        <v>18332.919999999998</v>
      </c>
      <c r="X19" s="23" t="s">
        <v>327</v>
      </c>
      <c r="Y19" s="37">
        <f t="shared" si="0"/>
        <v>8791.41</v>
      </c>
    </row>
    <row r="20" spans="1:25">
      <c r="A20" s="29">
        <f>IF(AND('REPORTE CREDITOS DIARIOS'!A10&gt;=$A$5,'REPORTE CREDITOS DIARIOS'!A10&lt;=$C$5),'REPORTE CREDITOS DIARIOS'!A10,"")</f>
        <v>46240</v>
      </c>
      <c r="B20" s="36">
        <f>IF(A20="",0,IF($E$5&lt;&gt;"TODAS",IFERROR(INDEX('REPORTE CREDITOS DIARIOS'!$B$5:$I$23,MATCH(A20,'REPORTE CREDITOS DIARIOS'!$A$5:$A$23,0),MATCH($E$5,'REPORTE CREDITOS DIARIOS'!$B$4:$I$4,0)),0),IF($G$5="TODOS",IFERROR(SUMIF('REPORTE CREDITOS DIARIOS'!$A$5:$A$23,A20,'REPORTE CREDITOS DIARIOS'!$J$5:$J$23),0),0)))</f>
        <v>622.82000000000005</v>
      </c>
      <c r="C20" s="36">
        <f t="shared" si="1"/>
        <v>-880.64</v>
      </c>
      <c r="D20" s="30">
        <f>IF(A20="",0,IF($G$5="TODOS",IFERROR(INDEX('REPORTE CREDITOS DIARIOS'!$K$5:$K$23,MATCH(A20,'REPORTE CREDITOS DIARIOS'!$A$5:$A$23,0)),0),IF(B20&gt;0,1,0)))</f>
        <v>1</v>
      </c>
      <c r="F20" s="31" t="s">
        <v>14</v>
      </c>
      <c r="G20" s="32" t="s">
        <v>15</v>
      </c>
      <c r="H20" s="36">
        <f>IF(AND(OR($G$5="TODOS",TRIM($G$5)=TRIM(F20)),OR($E$5="TODAS",TEXT($E$5,"0")=TEXT(G20,"0"))),SUMIFS('REPORTE CREDITOS DIARIOS'!$G$5:$G$23,'REPORTE CREDITOS DIARIOS'!$A$5:$A$23,"&gt;="&amp;$A$5,'REPORTE CREDITOS DIARIOS'!$A$5:$A$23,"&lt;="&amp;$C$5),0)</f>
        <v>5636.83</v>
      </c>
      <c r="X20" s="23" t="s">
        <v>328</v>
      </c>
      <c r="Y20" s="37">
        <f t="shared" si="0"/>
        <v>8257.92</v>
      </c>
    </row>
    <row r="21" spans="1:25" ht="14.4">
      <c r="A21" s="25">
        <f>IF(AND('REPORTE CREDITOS DIARIOS'!A11&gt;=$A$5,'REPORTE CREDITOS DIARIOS'!A11&lt;=$C$5),'REPORTE CREDITOS DIARIOS'!A11,"")</f>
        <v>46241</v>
      </c>
      <c r="B21" s="35">
        <f>IF(A21="",0,IF($E$5&lt;&gt;"TODAS",IFERROR(INDEX('REPORTE CREDITOS DIARIOS'!$B$5:$I$23,MATCH(A21,'REPORTE CREDITOS DIARIOS'!$A$5:$A$23,0),MATCH($E$5,'REPORTE CREDITOS DIARIOS'!$B$4:$I$4,0)),0),IF($G$5="TODOS",IFERROR(SUMIF('REPORTE CREDITOS DIARIOS'!$A$5:$A$23,A21,'REPORTE CREDITOS DIARIOS'!$J$5:$J$23),0),0)))</f>
        <v>2766.44</v>
      </c>
      <c r="C21" s="35">
        <f t="shared" si="1"/>
        <v>2143.62</v>
      </c>
      <c r="D21" s="26">
        <f>IF(A21="",0,IF($G$5="TODOS",IFERROR(INDEX('REPORTE CREDITOS DIARIOS'!$K$5:$K$23,MATCH(A21,'REPORTE CREDITOS DIARIOS'!$A$5:$A$23,0)),0),IF(B21&gt;0,1,0)))</f>
        <v>6</v>
      </c>
      <c r="F21" s="27" t="s">
        <v>241</v>
      </c>
      <c r="G21" s="28" t="s">
        <v>17</v>
      </c>
      <c r="H21" s="35">
        <f>IF(AND(OR($G$5="TODOS",TRIM($G$5)=TRIM(F21)),OR($E$5="TODAS",TEXT($E$5,"0")=TEXT(G21,"0"))),SUMIFS('REPORTE CREDITOS DIARIOS'!$H$5:$H$23,'REPORTE CREDITOS DIARIOS'!$A$5:$A$23,"&gt;="&amp;$A$5,'REPORTE CREDITOS DIARIOS'!$A$5:$A$23,"&lt;="&amp;$C$5),0)</f>
        <v>32704.7</v>
      </c>
      <c r="Y21" s="33"/>
    </row>
    <row r="22" spans="1:25" ht="14.4">
      <c r="A22" s="29">
        <f>IF(AND('REPORTE CREDITOS DIARIOS'!A12&gt;=$A$5,'REPORTE CREDITOS DIARIOS'!A12&lt;=$C$5),'REPORTE CREDITOS DIARIOS'!A12,"")</f>
        <v>46242</v>
      </c>
      <c r="B22" s="36">
        <f>IF(A22="",0,IF($E$5&lt;&gt;"TODAS",IFERROR(INDEX('REPORTE CREDITOS DIARIOS'!$B$5:$I$23,MATCH(A22,'REPORTE CREDITOS DIARIOS'!$A$5:$A$23,0),MATCH($E$5,'REPORTE CREDITOS DIARIOS'!$B$4:$I$4,0)),0),IF($G$5="TODOS",IFERROR(SUMIF('REPORTE CREDITOS DIARIOS'!$A$5:$A$23,A22,'REPORTE CREDITOS DIARIOS'!$J$5:$J$23),0),0)))</f>
        <v>814.73</v>
      </c>
      <c r="C22" s="36">
        <f t="shared" si="1"/>
        <v>-1951.71</v>
      </c>
      <c r="D22" s="30">
        <f>IF(A22="",0,IF($G$5="TODOS",IFERROR(INDEX('REPORTE CREDITOS DIARIOS'!$K$5:$K$23,MATCH(A22,'REPORTE CREDITOS DIARIOS'!$A$5:$A$23,0)),0),IF(B22&gt;0,1,0)))</f>
        <v>1</v>
      </c>
      <c r="F22" s="31" t="s">
        <v>241</v>
      </c>
      <c r="G22" s="32" t="s">
        <v>18</v>
      </c>
      <c r="H22" s="36">
        <f>IF(AND(OR($G$5="TODOS",TRIM($G$5)=TRIM(F22)),OR($E$5="TODAS",TEXT($E$5,"0")=TEXT(G22,"0"))),SUMIFS('REPORTE CREDITOS DIARIOS'!$I$5:$I$23,'REPORTE CREDITOS DIARIOS'!$A$5:$A$23,"&gt;="&amp;$A$5,'REPORTE CREDITOS DIARIOS'!$A$5:$A$23,"&lt;="&amp;$C$5),0)</f>
        <v>101.91</v>
      </c>
      <c r="Y22" s="33"/>
    </row>
    <row r="23" spans="1:25" ht="14.4">
      <c r="A23" s="25">
        <f>IF(AND('REPORTE CREDITOS DIARIOS'!A13&gt;=$A$5,'REPORTE CREDITOS DIARIOS'!A13&lt;=$C$5),'REPORTE CREDITOS DIARIOS'!A13,"")</f>
        <v>46243</v>
      </c>
      <c r="B23" s="35">
        <f>IF(A23="",0,IF($E$5&lt;&gt;"TODAS",IFERROR(INDEX('REPORTE CREDITOS DIARIOS'!$B$5:$I$23,MATCH(A23,'REPORTE CREDITOS DIARIOS'!$A$5:$A$23,0),MATCH($E$5,'REPORTE CREDITOS DIARIOS'!$B$4:$I$4,0)),0),IF($G$5="TODOS",IFERROR(SUMIF('REPORTE CREDITOS DIARIOS'!$A$5:$A$23,A23,'REPORTE CREDITOS DIARIOS'!$J$5:$J$23),0),0)))</f>
        <v>0</v>
      </c>
      <c r="C23" s="35">
        <f t="shared" si="1"/>
        <v>-814.73</v>
      </c>
      <c r="D23" s="26">
        <f>IF(A23="",0,IF($G$5="TODOS",IFERROR(INDEX('REPORTE CREDITOS DIARIOS'!$K$5:$K$23,MATCH(A23,'REPORTE CREDITOS DIARIOS'!$A$5:$A$23,0)),0),IF(B23&gt;0,1,0)))</f>
        <v>0</v>
      </c>
      <c r="F23" s="52" t="s">
        <v>331</v>
      </c>
      <c r="G23" s="52"/>
      <c r="H23" s="34">
        <f>SUM(H15:H22)</f>
        <v>102881.89</v>
      </c>
      <c r="Y23" s="33"/>
    </row>
    <row r="24" spans="1:25" ht="14.4">
      <c r="A24" s="29">
        <f>IF(AND('REPORTE CREDITOS DIARIOS'!A14&gt;=$A$5,'REPORTE CREDITOS DIARIOS'!A14&lt;=$C$5),'REPORTE CREDITOS DIARIOS'!A14,"")</f>
        <v>46244</v>
      </c>
      <c r="B24" s="36">
        <f>IF(A24="",0,IF($E$5&lt;&gt;"TODAS",IFERROR(INDEX('REPORTE CREDITOS DIARIOS'!$B$5:$I$23,MATCH(A24,'REPORTE CREDITOS DIARIOS'!$A$5:$A$23,0),MATCH($E$5,'REPORTE CREDITOS DIARIOS'!$B$4:$I$4,0)),0),IF($G$5="TODOS",IFERROR(SUMIF('REPORTE CREDITOS DIARIOS'!$A$5:$A$23,A24,'REPORTE CREDITOS DIARIOS'!$J$5:$J$23),0),0)))</f>
        <v>2835.55</v>
      </c>
      <c r="C24" s="36">
        <f t="shared" si="1"/>
        <v>2835.55</v>
      </c>
      <c r="D24" s="30">
        <f>IF(A24="",0,IF($G$5="TODOS",IFERROR(INDEX('REPORTE CREDITOS DIARIOS'!$K$5:$K$23,MATCH(A24,'REPORTE CREDITOS DIARIOS'!$A$5:$A$23,0)),0),IF(B24&gt;0,1,0)))</f>
        <v>7</v>
      </c>
      <c r="Y24" s="33"/>
    </row>
    <row r="25" spans="1:25" ht="14.4">
      <c r="A25" s="25">
        <f>IF(AND('REPORTE CREDITOS DIARIOS'!A15&gt;=$A$5,'REPORTE CREDITOS DIARIOS'!A15&lt;=$C$5),'REPORTE CREDITOS DIARIOS'!A15,"")</f>
        <v>46245</v>
      </c>
      <c r="B25" s="35">
        <f>IF(A25="",0,IF($E$5&lt;&gt;"TODAS",IFERROR(INDEX('REPORTE CREDITOS DIARIOS'!$B$5:$I$23,MATCH(A25,'REPORTE CREDITOS DIARIOS'!$A$5:$A$23,0),MATCH($E$5,'REPORTE CREDITOS DIARIOS'!$B$4:$I$4,0)),0),IF($G$5="TODOS",IFERROR(SUMIF('REPORTE CREDITOS DIARIOS'!$A$5:$A$23,A25,'REPORTE CREDITOS DIARIOS'!$J$5:$J$23),0),0)))</f>
        <v>32978.11</v>
      </c>
      <c r="C25" s="35">
        <f t="shared" si="1"/>
        <v>30142.560000000001</v>
      </c>
      <c r="D25" s="26">
        <f>IF(A25="",0,IF($G$5="TODOS",IFERROR(INDEX('REPORTE CREDITOS DIARIOS'!$K$5:$K$23,MATCH(A25,'REPORTE CREDITOS DIARIOS'!$A$5:$A$23,0)),0),IF(B25&gt;0,1,0)))</f>
        <v>6</v>
      </c>
      <c r="Y25" s="33"/>
    </row>
    <row r="26" spans="1:25" ht="14.4">
      <c r="A26" s="29">
        <f>IF(AND('REPORTE CREDITOS DIARIOS'!A16&gt;=$A$5,'REPORTE CREDITOS DIARIOS'!A16&lt;=$C$5),'REPORTE CREDITOS DIARIOS'!A16,"")</f>
        <v>46246</v>
      </c>
      <c r="B26" s="36">
        <f>IF(A26="",0,IF($E$5&lt;&gt;"TODAS",IFERROR(INDEX('REPORTE CREDITOS DIARIOS'!$B$5:$I$23,MATCH(A26,'REPORTE CREDITOS DIARIOS'!$A$5:$A$23,0),MATCH($E$5,'REPORTE CREDITOS DIARIOS'!$B$4:$I$4,0)),0),IF($G$5="TODOS",IFERROR(SUMIF('REPORTE CREDITOS DIARIOS'!$A$5:$A$23,A26,'REPORTE CREDITOS DIARIOS'!$J$5:$J$23),0),0)))</f>
        <v>8363.25</v>
      </c>
      <c r="C26" s="36">
        <f t="shared" si="1"/>
        <v>-24614.86</v>
      </c>
      <c r="D26" s="30">
        <f>IF(A26="",0,IF($G$5="TODOS",IFERROR(INDEX('REPORTE CREDITOS DIARIOS'!$K$5:$K$23,MATCH(A26,'REPORTE CREDITOS DIARIOS'!$A$5:$A$23,0)),0),IF(B26&gt;0,1,0)))</f>
        <v>6</v>
      </c>
      <c r="Y26" s="33"/>
    </row>
    <row r="27" spans="1:25" ht="14.4">
      <c r="A27" s="25">
        <f>IF(AND('REPORTE CREDITOS DIARIOS'!A17&gt;=$A$5,'REPORTE CREDITOS DIARIOS'!A17&lt;=$C$5),'REPORTE CREDITOS DIARIOS'!A17,"")</f>
        <v>46247</v>
      </c>
      <c r="B27" s="35">
        <f>IF(A27="",0,IF($E$5&lt;&gt;"TODAS",IFERROR(INDEX('REPORTE CREDITOS DIARIOS'!$B$5:$I$23,MATCH(A27,'REPORTE CREDITOS DIARIOS'!$A$5:$A$23,0),MATCH($E$5,'REPORTE CREDITOS DIARIOS'!$B$4:$I$4,0)),0),IF($G$5="TODOS",IFERROR(SUMIF('REPORTE CREDITOS DIARIOS'!$A$5:$A$23,A27,'REPORTE CREDITOS DIARIOS'!$J$5:$J$23),0),0)))</f>
        <v>3237.82</v>
      </c>
      <c r="C27" s="35">
        <f t="shared" si="1"/>
        <v>-5125.43</v>
      </c>
      <c r="D27" s="26">
        <f>IF(A27="",0,IF($G$5="TODOS",IFERROR(INDEX('REPORTE CREDITOS DIARIOS'!$K$5:$K$23,MATCH(A27,'REPORTE CREDITOS DIARIOS'!$A$5:$A$23,0)),0),IF(B27&gt;0,1,0)))</f>
        <v>6</v>
      </c>
      <c r="Y27" s="33"/>
    </row>
    <row r="28" spans="1:25" ht="14.4">
      <c r="A28" s="29">
        <f>IF(AND('REPORTE CREDITOS DIARIOS'!A18&gt;=$A$5,'REPORTE CREDITOS DIARIOS'!A18&lt;=$C$5),'REPORTE CREDITOS DIARIOS'!A18,"")</f>
        <v>46248</v>
      </c>
      <c r="B28" s="36">
        <f>IF(A28="",0,IF($E$5&lt;&gt;"TODAS",IFERROR(INDEX('REPORTE CREDITOS DIARIOS'!$B$5:$I$23,MATCH(A28,'REPORTE CREDITOS DIARIOS'!$A$5:$A$23,0),MATCH($E$5,'REPORTE CREDITOS DIARIOS'!$B$4:$I$4,0)),0),IF($G$5="TODOS",IFERROR(SUMIF('REPORTE CREDITOS DIARIOS'!$A$5:$A$23,A28,'REPORTE CREDITOS DIARIOS'!$J$5:$J$23),0),0)))</f>
        <v>11399.17</v>
      </c>
      <c r="C28" s="36">
        <f t="shared" si="1"/>
        <v>8161.35</v>
      </c>
      <c r="D28" s="30">
        <f>IF(A28="",0,IF($G$5="TODOS",IFERROR(INDEX('REPORTE CREDITOS DIARIOS'!$K$5:$K$23,MATCH(A28,'REPORTE CREDITOS DIARIOS'!$A$5:$A$23,0)),0),IF(B28&gt;0,1,0)))</f>
        <v>5</v>
      </c>
      <c r="Y28" s="33"/>
    </row>
    <row r="29" spans="1:25" ht="14.4">
      <c r="A29" s="25">
        <f>IF(AND('REPORTE CREDITOS DIARIOS'!A19&gt;=$A$5,'REPORTE CREDITOS DIARIOS'!A19&lt;=$C$5),'REPORTE CREDITOS DIARIOS'!A19,"")</f>
        <v>46249</v>
      </c>
      <c r="B29" s="35">
        <f>IF(A29="",0,IF($E$5&lt;&gt;"TODAS",IFERROR(INDEX('REPORTE CREDITOS DIARIOS'!$B$5:$I$23,MATCH(A29,'REPORTE CREDITOS DIARIOS'!$A$5:$A$23,0),MATCH($E$5,'REPORTE CREDITOS DIARIOS'!$B$4:$I$4,0)),0),IF($G$5="TODOS",IFERROR(SUMIF('REPORTE CREDITOS DIARIOS'!$A$5:$A$23,A29,'REPORTE CREDITOS DIARIOS'!$J$5:$J$23),0),0)))</f>
        <v>902.05</v>
      </c>
      <c r="C29" s="35">
        <f t="shared" si="1"/>
        <v>-10497.12</v>
      </c>
      <c r="D29" s="26">
        <f>IF(A29="",0,IF($G$5="TODOS",IFERROR(INDEX('REPORTE CREDITOS DIARIOS'!$K$5:$K$23,MATCH(A29,'REPORTE CREDITOS DIARIOS'!$A$5:$A$23,0)),0),IF(B29&gt;0,1,0)))</f>
        <v>4</v>
      </c>
      <c r="Y29" s="33"/>
    </row>
    <row r="30" spans="1:25" ht="14.4">
      <c r="A30" s="29">
        <f>IF(AND('REPORTE CREDITOS DIARIOS'!A20&gt;=$A$5,'REPORTE CREDITOS DIARIOS'!A20&lt;=$C$5),'REPORTE CREDITOS DIARIOS'!A20,"")</f>
        <v>46250</v>
      </c>
      <c r="B30" s="36">
        <f>IF(A30="",0,IF($E$5&lt;&gt;"TODAS",IFERROR(INDEX('REPORTE CREDITOS DIARIOS'!$B$5:$I$23,MATCH(A30,'REPORTE CREDITOS DIARIOS'!$A$5:$A$23,0),MATCH($E$5,'REPORTE CREDITOS DIARIOS'!$B$4:$I$4,0)),0),IF($G$5="TODOS",IFERROR(SUMIF('REPORTE CREDITOS DIARIOS'!$A$5:$A$23,A30,'REPORTE CREDITOS DIARIOS'!$J$5:$J$23),0),0)))</f>
        <v>519.84</v>
      </c>
      <c r="C30" s="36">
        <f t="shared" si="1"/>
        <v>-382.20999999999992</v>
      </c>
      <c r="D30" s="30">
        <f>IF(A30="",0,IF($G$5="TODOS",IFERROR(INDEX('REPORTE CREDITOS DIARIOS'!$K$5:$K$23,MATCH(A30,'REPORTE CREDITOS DIARIOS'!$A$5:$A$23,0)),0),IF(B30&gt;0,1,0)))</f>
        <v>2</v>
      </c>
      <c r="Y30" s="33"/>
    </row>
    <row r="31" spans="1:25" ht="14.4">
      <c r="A31" s="25">
        <f>IF(AND('REPORTE CREDITOS DIARIOS'!A21&gt;=$A$5,'REPORTE CREDITOS DIARIOS'!A21&lt;=$C$5),'REPORTE CREDITOS DIARIOS'!A21,"")</f>
        <v>46251</v>
      </c>
      <c r="B31" s="35">
        <f>IF(A31="",0,IF($E$5&lt;&gt;"TODAS",IFERROR(INDEX('REPORTE CREDITOS DIARIOS'!$B$5:$I$23,MATCH(A31,'REPORTE CREDITOS DIARIOS'!$A$5:$A$23,0),MATCH($E$5,'REPORTE CREDITOS DIARIOS'!$B$4:$I$4,0)),0),IF($G$5="TODOS",IFERROR(SUMIF('REPORTE CREDITOS DIARIOS'!$A$5:$A$23,A31,'REPORTE CREDITOS DIARIOS'!$J$5:$J$23),0),0)))</f>
        <v>3533.68</v>
      </c>
      <c r="C31" s="35">
        <f t="shared" si="1"/>
        <v>3013.8399999999997</v>
      </c>
      <c r="D31" s="26">
        <f>IF(A31="",0,IF($G$5="TODOS",IFERROR(INDEX('REPORTE CREDITOS DIARIOS'!$K$5:$K$23,MATCH(A31,'REPORTE CREDITOS DIARIOS'!$A$5:$A$23,0)),0),IF(B31&gt;0,1,0)))</f>
        <v>6</v>
      </c>
      <c r="Y31" s="33"/>
    </row>
    <row r="32" spans="1:25" ht="14.4">
      <c r="A32" s="29">
        <f>IF(AND('REPORTE CREDITOS DIARIOS'!A22&gt;=$A$5,'REPORTE CREDITOS DIARIOS'!A22&lt;=$C$5),'REPORTE CREDITOS DIARIOS'!A22,"")</f>
        <v>46252</v>
      </c>
      <c r="B32" s="36">
        <f>IF(A32="",0,IF($E$5&lt;&gt;"TODAS",IFERROR(INDEX('REPORTE CREDITOS DIARIOS'!$B$5:$I$23,MATCH(A32,'REPORTE CREDITOS DIARIOS'!$A$5:$A$23,0),MATCH($E$5,'REPORTE CREDITOS DIARIOS'!$B$4:$I$4,0)),0),IF($G$5="TODOS",IFERROR(SUMIF('REPORTE CREDITOS DIARIOS'!$A$5:$A$23,A32,'REPORTE CREDITOS DIARIOS'!$J$5:$J$23),0),0)))</f>
        <v>8791.41</v>
      </c>
      <c r="C32" s="36">
        <f t="shared" si="1"/>
        <v>5257.73</v>
      </c>
      <c r="D32" s="30">
        <f>IF(A32="",0,IF($G$5="TODOS",IFERROR(INDEX('REPORTE CREDITOS DIARIOS'!$K$5:$K$23,MATCH(A32,'REPORTE CREDITOS DIARIOS'!$A$5:$A$23,0)),0),IF(B32&gt;0,1,0)))</f>
        <v>5</v>
      </c>
      <c r="Y32" s="33"/>
    </row>
    <row r="33" spans="1:25" ht="14.4">
      <c r="A33" s="25">
        <f>IF(AND('REPORTE CREDITOS DIARIOS'!A23&gt;=$A$5,'REPORTE CREDITOS DIARIOS'!A23&lt;=$C$5),'REPORTE CREDITOS DIARIOS'!A23,"")</f>
        <v>46253</v>
      </c>
      <c r="B33" s="35">
        <f>IF(A33="",0,IF($E$5&lt;&gt;"TODAS",IFERROR(INDEX('REPORTE CREDITOS DIARIOS'!$B$5:$I$23,MATCH(A33,'REPORTE CREDITOS DIARIOS'!$A$5:$A$23,0),MATCH($E$5,'REPORTE CREDITOS DIARIOS'!$B$4:$I$4,0)),0),IF($G$5="TODOS",IFERROR(SUMIF('REPORTE CREDITOS DIARIOS'!$A$5:$A$23,A33,'REPORTE CREDITOS DIARIOS'!$J$5:$J$23),0),0)))</f>
        <v>8257.92</v>
      </c>
      <c r="C33" s="35">
        <f t="shared" si="1"/>
        <v>-533.48999999999978</v>
      </c>
      <c r="D33" s="26">
        <f>IF(A33="",0,IF($G$5="TODOS",IFERROR(INDEX('REPORTE CREDITOS DIARIOS'!$K$5:$K$23,MATCH(A33,'REPORTE CREDITOS DIARIOS'!$A$5:$A$23,0)),0),IF(B33&gt;0,1,0)))</f>
        <v>5</v>
      </c>
      <c r="Y33" s="33"/>
    </row>
    <row r="34" spans="1:25" ht="14.4">
      <c r="Y34" s="33"/>
    </row>
    <row r="35" spans="1:25" ht="14.4">
      <c r="A35" s="42" t="s">
        <v>329</v>
      </c>
      <c r="B35" s="39"/>
      <c r="C35" s="39"/>
      <c r="D35" s="39"/>
      <c r="E35" s="39"/>
      <c r="F35" s="39"/>
      <c r="G35" s="39"/>
      <c r="H35" s="39"/>
      <c r="Y35" s="33"/>
    </row>
  </sheetData>
  <mergeCells count="16">
    <mergeCell ref="I7:J7"/>
    <mergeCell ref="I8:J8"/>
    <mergeCell ref="F23:G23"/>
    <mergeCell ref="A1:H1"/>
    <mergeCell ref="A2:H2"/>
    <mergeCell ref="A5:B5"/>
    <mergeCell ref="C5:D5"/>
    <mergeCell ref="E5:F5"/>
    <mergeCell ref="G5:H5"/>
    <mergeCell ref="A35:H35"/>
    <mergeCell ref="A8:B8"/>
    <mergeCell ref="C8:D8"/>
    <mergeCell ref="E8:F8"/>
    <mergeCell ref="G8:H8"/>
    <mergeCell ref="A13:D13"/>
    <mergeCell ref="F13:H13"/>
  </mergeCells>
  <conditionalFormatting sqref="H15:H22">
    <cfRule type="dataBar" priority="1">
      <dataBar>
        <cfvo type="min"/>
        <cfvo type="max"/>
        <color rgb="FF1F7886"/>
      </dataBar>
    </cfRule>
    <cfRule type="dataBar" priority="2">
      <dataBar>
        <cfvo type="min"/>
        <cfvo type="max"/>
        <color rgb="FF1F7886"/>
      </dataBar>
    </cfRule>
  </conditionalFormatting>
  <dataValidations count="4">
    <dataValidation type="list" sqref="E5" xr:uid="{00000000-0002-0000-0300-000000000000}">
      <formula1>"TODAS,9596,2509,4978,0386,6715,0049,8202,1962"</formula1>
    </dataValidation>
    <dataValidation type="list" sqref="G5" xr:uid="{00000000-0002-0000-0300-000001000000}">
      <formula1>"TODOS,BANCO AGRÍCOLA,BANCO CUSCATLÁN,BAC,PROMERICA,DAVIVIENDA"</formula1>
    </dataValidation>
    <dataValidation type="date" sqref="A5 C5" xr:uid="{00000000-0002-0000-0300-000002000000}">
      <formula1>DATE(2026,1,1)</formula1>
      <formula2>DATE(2030,12,31)</formula2>
    </dataValidation>
    <dataValidation type="list" sqref="G5" xr:uid="{00000000-0002-0000-0300-000003000000}">
      <formula1>"TODOS,AGRÍCOLA,CUSCATLÁN,BAC,PROMERICA,DAVIVIENDA"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SALDOS POR CUENTA</vt:lpstr>
      <vt:lpstr>ESTADOS CONSOLIDADOS</vt:lpstr>
      <vt:lpstr>REPORTE CREDITOS DIARIOS</vt:lpstr>
      <vt:lpstr>TABLERO CREDITOS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Gonzalez</cp:lastModifiedBy>
  <dcterms:modified xsi:type="dcterms:W3CDTF">2026-08-31T16:21:01Z</dcterms:modified>
</cp:coreProperties>
</file>